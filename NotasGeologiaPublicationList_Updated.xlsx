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B7D97058-6312-4AA4-8EB6-86D91E9B9B3F}"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Sheet1!$A$1:$G$1267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273" i="1" l="1"/>
  <c r="G1272" i="1"/>
  <c r="G1271" i="1"/>
  <c r="G1270" i="1"/>
  <c r="G1269" i="1"/>
  <c r="G1268" i="1"/>
  <c r="G1267" i="1"/>
  <c r="A1267" i="1"/>
  <c r="A1268" i="1" s="1"/>
  <c r="A1269" i="1" s="1"/>
  <c r="A1270" i="1" s="1"/>
  <c r="A1271" i="1" s="1"/>
  <c r="A1272" i="1" s="1"/>
  <c r="A1273" i="1" s="1"/>
  <c r="G1266" i="1"/>
  <c r="G1265" i="1"/>
  <c r="G1264" i="1"/>
  <c r="G1263" i="1"/>
  <c r="G1262" i="1"/>
  <c r="G1261" i="1"/>
  <c r="G1260" i="1"/>
  <c r="A1260" i="1"/>
  <c r="A1261" i="1" s="1"/>
  <c r="A1262" i="1" s="1"/>
  <c r="A1263" i="1" s="1"/>
  <c r="A1264" i="1" s="1"/>
  <c r="A1265" i="1" s="1"/>
  <c r="A1266" i="1" s="1"/>
  <c r="G1259" i="1"/>
  <c r="G1258" i="1"/>
  <c r="G1257" i="1"/>
  <c r="G1256" i="1"/>
  <c r="G1255" i="1"/>
  <c r="G1254" i="1"/>
  <c r="G1253" i="1"/>
  <c r="A1253" i="1"/>
  <c r="A1254" i="1" s="1"/>
  <c r="A1255" i="1" s="1"/>
  <c r="A1256" i="1" s="1"/>
  <c r="A1257" i="1" s="1"/>
  <c r="A1258" i="1" s="1"/>
  <c r="A1259" i="1" s="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alcChain>
</file>

<file path=xl/sharedStrings.xml><?xml version="1.0" encoding="utf-8"?>
<sst xmlns="http://schemas.openxmlformats.org/spreadsheetml/2006/main" count="5081" uniqueCount="4675">
  <si>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</si>
  <si>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</si>
  <si>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</si>
  <si>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</si>
  <si>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</si>
  <si>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</si>
  <si>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</si>
  <si>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</si>
  <si>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</si>
  <si>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</si>
  <si>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</si>
  <si>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</si>
  <si>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</si>
  <si>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</si>
  <si>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</si>
  <si>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</si>
  <si>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</si>
  <si>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</si>
  <si>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</si>
  <si>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</si>
  <si>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</si>
  <si>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</si>
  <si>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</si>
  <si>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</si>
  <si>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</si>
  <si>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</si>
  <si>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</si>
  <si>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</si>
  <si>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</si>
  <si>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</si>
  <si>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</si>
  <si>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</si>
  <si>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</si>
  <si>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</si>
  <si>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</si>
  <si>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</si>
  <si>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</si>
  <si>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</si>
  <si>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</si>
  <si>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</si>
  <si>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</si>
  <si>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</si>
  <si>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</si>
  <si>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</si>
  <si>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</si>
  <si>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</si>
  <si>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</si>
  <si>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</si>
  <si>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</si>
  <si>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</si>
  <si>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</si>
  <si>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</si>
  <si>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</si>
  <si>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</si>
  <si>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</si>
  <si>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</si>
  <si>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</si>
  <si>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</si>
  <si>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</si>
  <si>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</si>
  <si>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</si>
  <si>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</si>
  <si>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</si>
  <si>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</si>
  <si>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</si>
  <si>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</si>
  <si>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</si>
  <si>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</si>
  <si>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</si>
  <si>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</si>
  <si>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</si>
  <si>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</si>
  <si>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</si>
  <si>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</si>
  <si>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</si>
  <si>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</si>
  <si>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</si>
  <si>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</si>
  <si>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</si>
  <si>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</si>
  <si>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</si>
  <si>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</si>
  <si>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</si>
  <si>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</si>
  <si>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</si>
  <si>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</si>
  <si>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</si>
  <si>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</si>
  <si>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</si>
  <si>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</si>
  <si>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</si>
  <si>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</si>
  <si>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</si>
  <si>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</si>
  <si>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</si>
  <si>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</si>
  <si>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</si>
  <si>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</si>
  <si>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</si>
  <si>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</si>
  <si>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</si>
  <si>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</si>
  <si>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</si>
  <si>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</si>
  <si>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</si>
  <si>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</si>
  <si>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</si>
  <si>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</si>
  <si>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</si>
  <si>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</si>
  <si>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</si>
  <si>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</si>
  <si>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</si>
  <si>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</si>
  <si>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</si>
  <si>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</si>
  <si>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</si>
  <si>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</si>
  <si>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</si>
  <si>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</si>
  <si>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</si>
  <si>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</si>
  <si>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</si>
  <si>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</si>
  <si>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</si>
  <si>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</si>
  <si>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</si>
  <si>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</si>
  <si>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</si>
  <si>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</si>
  <si>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</si>
  <si>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</si>
  <si>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</si>
  <si>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</si>
  <si>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</si>
  <si>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</si>
  <si>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</si>
  <si>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</si>
  <si>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</si>
  <si>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</si>
  <si>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</si>
  <si>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</si>
  <si>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</si>
  <si>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</si>
  <si>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</si>
  <si>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</si>
  <si>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</si>
  <si>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</si>
  <si>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</si>
  <si>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</si>
  <si>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</si>
  <si>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</si>
  <si>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</si>
  <si>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</si>
  <si>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</si>
  <si>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</si>
  <si>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</si>
  <si>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</si>
  <si>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</si>
  <si>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</si>
  <si>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</si>
  <si>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</si>
  <si>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</si>
  <si>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</si>
  <si>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</si>
  <si>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</si>
  <si>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</si>
  <si>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</si>
  <si>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</si>
  <si>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</si>
  <si>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</si>
  <si>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</si>
  <si>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</si>
  <si>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</si>
  <si>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</si>
  <si>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</si>
  <si>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</si>
  <si>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</si>
  <si>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</si>
  <si>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</si>
  <si>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</si>
  <si>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</si>
  <si>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</si>
  <si>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</si>
  <si>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</si>
  <si>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</si>
  <si>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</si>
  <si>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</si>
  <si>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</si>
  <si>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</si>
  <si>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</si>
  <si>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</si>
  <si>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</si>
  <si>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</si>
  <si>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</si>
  <si>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</si>
  <si>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</si>
  <si>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</si>
  <si>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</si>
  <si>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</si>
  <si>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</si>
  <si>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</si>
  <si>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</si>
  <si>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</si>
  <si>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</si>
  <si>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</si>
  <si>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</si>
  <si>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</si>
  <si>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</si>
  <si>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</si>
  <si>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</si>
  <si>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</si>
  <si>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</si>
  <si>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</si>
  <si>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</si>
  <si>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</si>
  <si>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</si>
  <si>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</si>
  <si>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</si>
  <si>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</si>
  <si>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</si>
  <si>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</si>
  <si>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</si>
  <si>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</si>
  <si>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</si>
  <si>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</si>
  <si>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</si>
  <si>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</si>
  <si>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</si>
  <si>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</si>
  <si>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</si>
  <si>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</si>
  <si>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</si>
  <si>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</si>
  <si>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</si>
  <si>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</si>
  <si>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</si>
  <si>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</si>
  <si>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</si>
  <si>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</si>
  <si>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</si>
  <si>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</si>
  <si>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</si>
  <si>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</si>
  <si>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</si>
  <si>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</si>
  <si>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</si>
  <si>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</si>
  <si>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</si>
  <si>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</si>
  <si>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</si>
  <si>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</si>
  <si>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</si>
  <si>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</si>
  <si>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</si>
  <si>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</si>
  <si>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</si>
  <si>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</si>
  <si>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</si>
  <si>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</si>
  <si>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</si>
  <si>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</si>
  <si>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</si>
  <si>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</si>
  <si>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</si>
  <si>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</si>
  <si>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</si>
  <si>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</si>
  <si>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</si>
  <si>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</si>
  <si>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</si>
  <si>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</si>
  <si>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</si>
  <si>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</si>
  <si>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</si>
  <si>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</si>
  <si>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</si>
  <si>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</si>
  <si>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</si>
  <si>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</si>
  <si>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</si>
  <si>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</si>
  <si>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</si>
  <si>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</si>
  <si>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</si>
  <si>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</si>
  <si>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</si>
  <si>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</si>
  <si>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</si>
  <si>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</si>
  <si>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</si>
  <si>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</si>
  <si>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</si>
  <si>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</si>
  <si>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</si>
  <si>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</si>
  <si>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</si>
  <si>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</si>
  <si>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</si>
  <si>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</si>
  <si>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</si>
  <si>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</si>
  <si>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</si>
  <si>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</si>
  <si>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</si>
  <si>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</si>
  <si>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</si>
  <si>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</si>
  <si>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</si>
  <si>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</si>
  <si>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</si>
  <si>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</si>
  <si>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</si>
  <si>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</si>
  <si>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</si>
  <si>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</si>
  <si>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</si>
  <si>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</si>
  <si>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</si>
  <si>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</si>
  <si>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</si>
  <si>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</si>
  <si>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</si>
  <si>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</si>
  <si>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</si>
  <si>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</si>
  <si>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</si>
  <si>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</si>
  <si>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</si>
  <si>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</si>
  <si>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</si>
  <si>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</si>
  <si>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</si>
  <si>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</si>
  <si>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</si>
  <si>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</si>
  <si>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</si>
  <si>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</si>
  <si>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</si>
  <si>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</si>
  <si>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</si>
  <si>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</si>
  <si>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</si>
  <si>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</si>
  <si>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</si>
  <si>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</si>
  <si>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</si>
  <si>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</si>
  <si>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</si>
  <si>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</si>
  <si>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</si>
  <si>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</si>
  <si>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</si>
  <si>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</si>
  <si>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</si>
  <si>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</si>
  <si>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</si>
  <si>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</si>
  <si>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</si>
  <si>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</si>
  <si>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</si>
  <si>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</si>
  <si>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</si>
  <si>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</si>
  <si>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</si>
  <si>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</si>
  <si>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</si>
  <si>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</si>
  <si>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</si>
  <si>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</si>
  <si>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</si>
  <si>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</si>
  <si>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</si>
  <si>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</si>
  <si>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</si>
  <si>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</si>
  <si>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</si>
  <si>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</si>
  <si>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</si>
  <si>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</si>
  <si>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</si>
  <si>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</si>
  <si>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</si>
  <si>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</si>
  <si>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</si>
  <si>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</si>
  <si>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</si>
  <si>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</si>
  <si>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</si>
  <si>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</si>
  <si>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</si>
  <si>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</si>
  <si>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</si>
  <si>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</si>
  <si>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</si>
  <si>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</si>
  <si>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</si>
  <si>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</si>
  <si>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</si>
  <si>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</si>
  <si>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</si>
  <si>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</si>
  <si>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</si>
  <si>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</si>
  <si>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</si>
  <si>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</si>
  <si>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</si>
  <si>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</si>
  <si>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</si>
  <si>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</si>
  <si>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</si>
  <si>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</si>
  <si>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</si>
  <si>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</si>
  <si>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</si>
  <si>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</si>
  <si>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</si>
  <si>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</si>
  <si>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</si>
  <si>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</si>
  <si>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</si>
  <si>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</si>
  <si>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</si>
  <si>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</si>
  <si>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</si>
  <si>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</si>
  <si>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</si>
  <si>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</si>
  <si>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</si>
  <si>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</si>
  <si>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</si>
  <si>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</si>
  <si>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</si>
  <si>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</si>
  <si>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</si>
  <si>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</si>
  <si>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</si>
  <si>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</si>
  <si>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</si>
  <si>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</si>
  <si>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</si>
  <si>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</si>
  <si>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</si>
  <si>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</si>
  <si>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</si>
  <si>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</si>
  <si>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</si>
  <si>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</si>
  <si>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</si>
  <si>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</si>
  <si>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</si>
  <si>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</si>
  <si>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</si>
  <si>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</si>
  <si>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</si>
  <si>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</si>
  <si>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</si>
  <si>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</si>
  <si>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</si>
  <si>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</si>
  <si>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</si>
  <si>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</si>
  <si>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</si>
  <si>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</si>
  <si>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</si>
  <si>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</si>
  <si>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</si>
  <si>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</si>
  <si>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</si>
  <si>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</si>
  <si>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</si>
  <si>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</si>
  <si>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</si>
  <si>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</si>
  <si>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</si>
  <si>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</si>
  <si>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</si>
  <si>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</si>
  <si>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</si>
  <si>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</si>
  <si>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</si>
  <si>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</si>
  <si>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</si>
  <si>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</si>
  <si>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</si>
  <si>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</si>
  <si>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</si>
  <si>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</si>
  <si>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</si>
  <si>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</si>
  <si>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</si>
  <si>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</si>
  <si>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</si>
  <si>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</si>
  <si>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</si>
  <si>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</si>
  <si>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</si>
  <si>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</si>
  <si>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</si>
  <si>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</si>
  <si>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</si>
  <si>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</si>
  <si>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</si>
  <si>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</si>
  <si>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</si>
  <si>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</si>
  <si>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</si>
  <si>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</si>
  <si>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</si>
  <si>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</si>
  <si>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</si>
  <si>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</si>
  <si>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</si>
  <si>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</si>
  <si>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</si>
  <si>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</si>
  <si>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</si>
  <si>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</si>
  <si>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</si>
  <si>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</si>
  <si>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</si>
  <si>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</si>
  <si>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</si>
  <si>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</si>
  <si>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</si>
  <si>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</si>
  <si>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</si>
  <si>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</si>
  <si>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</si>
  <si>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</si>
  <si>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</si>
  <si>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</si>
  <si>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</si>
  <si>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</si>
  <si>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</si>
  <si>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</si>
  <si>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</si>
  <si>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</si>
  <si>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</si>
  <si>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</si>
  <si>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</si>
  <si>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</si>
  <si>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</si>
  <si>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</si>
  <si>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</si>
  <si>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</si>
  <si>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</si>
  <si>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</si>
  <si>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</si>
  <si>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</si>
  <si>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</si>
  <si>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</si>
  <si>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</si>
  <si>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</si>
  <si>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</si>
  <si>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</si>
  <si>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</si>
  <si>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</si>
  <si>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</si>
  <si>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</si>
  <si>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</si>
  <si>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</si>
  <si>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</si>
  <si>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</si>
  <si>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</si>
  <si>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</si>
  <si>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</si>
  <si>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</si>
  <si>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</si>
  <si>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</si>
  <si>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</si>
  <si>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</si>
  <si>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</si>
  <si>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</si>
  <si>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</si>
  <si>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</si>
  <si>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</si>
  <si>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</si>
  <si>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</si>
  <si>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</si>
  <si>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</si>
  <si>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</si>
  <si>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</si>
  <si>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</si>
  <si>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</si>
  <si>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</si>
  <si>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</si>
  <si>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</si>
  <si>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</si>
  <si>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</si>
  <si>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</si>
  <si>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</si>
  <si>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</si>
  <si>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</si>
  <si>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</si>
  <si>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</si>
  <si>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</si>
  <si>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</si>
  <si>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</si>
  <si>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</si>
  <si>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</si>
  <si>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</si>
  <si>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</si>
  <si>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</si>
  <si>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</si>
  <si>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</si>
  <si>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</si>
  <si>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</si>
  <si>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</si>
  <si>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</si>
  <si>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</si>
  <si>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</si>
  <si>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</si>
  <si>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</si>
  <si>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</si>
  <si>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</si>
  <si>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</si>
  <si>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</si>
  <si>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</si>
  <si>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</si>
  <si>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</si>
  <si>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</si>
  <si>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</si>
  <si>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</si>
  <si>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</si>
  <si>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</si>
  <si>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</si>
  <si>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</si>
  <si>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</si>
  <si>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</si>
  <si>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</si>
  <si>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</si>
  <si>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</si>
  <si>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</si>
  <si>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</si>
  <si>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</si>
  <si>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</si>
  <si>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</si>
  <si>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</si>
  <si>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</si>
  <si>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</si>
  <si>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</si>
  <si>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</si>
  <si>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</si>
  <si>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</si>
  <si>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</si>
  <si>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</si>
  <si>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</si>
  <si>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</si>
  <si>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</si>
  <si>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</si>
  <si>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</si>
  <si>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</si>
  <si>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</si>
  <si>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</si>
  <si>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</si>
  <si>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</si>
  <si>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</si>
  <si>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</si>
  <si>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</si>
  <si>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</si>
  <si>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</si>
  <si>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</si>
  <si>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</si>
  <si>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</si>
  <si>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</si>
  <si>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</si>
  <si>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</si>
  <si>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</si>
  <si>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</si>
  <si>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</si>
  <si>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</si>
  <si>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</si>
  <si>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</si>
  <si>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</si>
  <si>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</si>
  <si>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</si>
  <si>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</si>
  <si>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</si>
  <si>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</si>
  <si>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</si>
  <si>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</si>
  <si>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</si>
  <si>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</si>
  <si>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</si>
  <si>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</si>
  <si>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</si>
  <si>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</si>
  <si>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</si>
  <si>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</si>
  <si>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</si>
  <si>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</si>
  <si>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</si>
  <si>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</si>
  <si>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</si>
  <si>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</si>
  <si>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</si>
  <si>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</si>
  <si>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</si>
  <si>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</si>
  <si>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</si>
  <si>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</si>
  <si>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</si>
  <si>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</si>
  <si>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</si>
  <si>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</si>
  <si>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</si>
  <si>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</si>
  <si>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</si>
  <si>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</si>
  <si>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</si>
  <si>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</si>
  <si>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</si>
  <si>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</si>
  <si>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</si>
  <si>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</si>
  <si>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</si>
  <si>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</si>
  <si>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</si>
  <si>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</si>
  <si>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</si>
  <si>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</si>
  <si>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</si>
  <si>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</si>
  <si>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</si>
  <si>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</si>
  <si>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</si>
  <si>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</si>
  <si>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</si>
  <si>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</si>
  <si>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</si>
  <si>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</si>
  <si>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</si>
  <si>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</si>
  <si>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</si>
  <si>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</si>
  <si>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</si>
  <si>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</si>
  <si>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</si>
  <si>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</si>
  <si>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</si>
  <si>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</si>
  <si>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</si>
  <si>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</si>
  <si>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</si>
  <si>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</si>
  <si>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</si>
  <si>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</si>
  <si>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</si>
  <si>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</si>
  <si>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</si>
  <si>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</si>
  <si>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</si>
  <si>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</si>
  <si>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</si>
  <si>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</si>
  <si>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</si>
  <si>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</si>
  <si>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</si>
  <si>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</si>
  <si>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</si>
  <si>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</si>
  <si>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</si>
  <si>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</si>
  <si>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</si>
  <si>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</si>
  <si>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</si>
  <si>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</si>
  <si>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</si>
  <si>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</si>
  <si>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</si>
  <si>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</si>
  <si>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</si>
  <si>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</si>
  <si>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</si>
  <si>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</si>
  <si>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</si>
  <si>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</si>
  <si>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</si>
  <si>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</si>
  <si>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</si>
  <si>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</si>
  <si>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</si>
  <si>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</si>
  <si>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</si>
  <si>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</si>
  <si>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</si>
  <si>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</si>
  <si>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</si>
  <si>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</si>
  <si>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</si>
  <si>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</si>
  <si>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</si>
  <si>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</si>
  <si>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</si>
  <si>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</si>
  <si>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</si>
  <si>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</si>
  <si>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</si>
  <si>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</si>
  <si>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</si>
  <si>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</si>
  <si>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</si>
  <si>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</si>
  <si>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</si>
  <si>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</si>
  <si>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</si>
  <si>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</si>
  <si>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</si>
  <si>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</si>
  <si>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</si>
  <si>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</si>
  <si>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</si>
  <si>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</si>
  <si>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</si>
  <si>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</si>
  <si>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</si>
  <si>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</si>
  <si>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</si>
  <si>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</si>
  <si>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</si>
  <si>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</si>
  <si>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</si>
  <si>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</si>
  <si>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</si>
  <si>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</si>
  <si>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</si>
  <si>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</si>
  <si>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</si>
  <si>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</si>
  <si>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</si>
  <si>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</si>
  <si>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</si>
  <si>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</si>
  <si>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</si>
  <si>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</si>
  <si>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</si>
  <si>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</si>
  <si>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</si>
  <si>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</si>
  <si>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</si>
  <si>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</si>
  <si>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</si>
  <si>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</si>
  <si>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</si>
  <si>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</si>
  <si>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</si>
  <si>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</si>
  <si>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</si>
  <si>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</si>
  <si>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</si>
  <si>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</si>
  <si>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</si>
  <si>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</si>
  <si>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</si>
  <si>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</si>
  <si>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</si>
  <si>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</si>
  <si>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</si>
  <si>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</si>
  <si>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</si>
  <si>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</si>
  <si>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</si>
  <si>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</si>
  <si>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</si>
  <si>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</si>
  <si>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</si>
  <si>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</si>
  <si>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</si>
  <si>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</si>
  <si>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</si>
  <si>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</si>
  <si>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</si>
  <si>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</si>
  <si>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</si>
  <si>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</si>
  <si>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</si>
  <si>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</si>
  <si>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</si>
  <si>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</si>
  <si>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</si>
  <si>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</si>
  <si>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</si>
  <si>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</si>
  <si>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</si>
  <si>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</si>
  <si>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</si>
  <si>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</si>
  <si>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</si>
  <si>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</si>
  <si>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</si>
  <si>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</si>
  <si>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</si>
  <si>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</si>
  <si>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</si>
  <si>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</si>
  <si>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</si>
  <si>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</si>
  <si>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</si>
  <si>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</si>
  <si>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</si>
  <si>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</si>
  <si>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</si>
  <si>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</si>
  <si>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</si>
  <si>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</si>
  <si>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</si>
  <si>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</si>
  <si>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</si>
  <si>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</si>
  <si>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</si>
  <si>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</si>
  <si>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</si>
  <si>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</si>
  <si>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</si>
  <si>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</si>
  <si>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</si>
  <si>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</si>
  <si>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</si>
  <si>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</si>
  <si>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</si>
  <si>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</si>
  <si>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</si>
  <si>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</si>
  <si>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</si>
  <si>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</si>
  <si>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</si>
  <si>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</si>
  <si>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</si>
  <si>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</si>
  <si>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</si>
  <si>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</si>
  <si>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</si>
  <si>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</si>
  <si>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</si>
  <si>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</si>
  <si>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</si>
  <si>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</si>
  <si>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</si>
  <si>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</si>
  <si>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</si>
  <si>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</si>
  <si>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</si>
  <si>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</si>
  <si>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</si>
  <si>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</si>
  <si>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</si>
  <si>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</si>
  <si>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</si>
  <si>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</si>
  <si>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</si>
  <si>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</si>
  <si>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</si>
  <si>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</si>
  <si>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</si>
  <si>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</si>
  <si>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</si>
  <si>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</si>
  <si>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</si>
  <si>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</si>
  <si>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</si>
  <si>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</si>
  <si>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</si>
  <si>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</si>
  <si>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</si>
  <si>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</si>
  <si>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</si>
  <si>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</si>
  <si>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</si>
  <si>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</si>
  <si>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</si>
  <si>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</si>
  <si>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</si>
  <si>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</si>
  <si>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</si>
  <si>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</si>
  <si>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</si>
  <si>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</si>
  <si>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</si>
  <si>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</si>
  <si>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</si>
  <si>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</si>
  <si>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</si>
  <si>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</si>
  <si>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</si>
  <si>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</si>
  <si>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</si>
  <si>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</si>
  <si>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</si>
  <si>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</si>
  <si>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</si>
  <si>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</si>
  <si>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</si>
  <si>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</si>
  <si>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</si>
  <si>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</si>
  <si>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</si>
  <si>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</si>
  <si>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</si>
  <si>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</si>
  <si>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</si>
  <si>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</si>
  <si>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</si>
  <si>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</si>
  <si>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</si>
  <si>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</si>
  <si>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</si>
  <si>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</si>
  <si>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</si>
  <si>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</si>
  <si>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</si>
  <si>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</si>
  <si>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</si>
  <si>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</si>
  <si>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</si>
  <si>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</si>
  <si>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</si>
  <si>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</si>
  <si>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</si>
  <si>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</si>
  <si>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</si>
  <si>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</si>
  <si>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</si>
  <si>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</si>
  <si>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</si>
  <si>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</si>
  <si>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</si>
  <si>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</si>
  <si>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</si>
  <si>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</si>
  <si>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</si>
  <si>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</si>
  <si>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</si>
  <si>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</si>
  <si>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</si>
  <si>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</si>
  <si>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</si>
  <si>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</si>
  <si>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</si>
  <si>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</si>
  <si>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</si>
  <si>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</si>
  <si>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</si>
  <si>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</si>
  <si>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</si>
  <si>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</si>
  <si>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</si>
  <si>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</si>
  <si>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</si>
  <si>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</si>
  <si>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</si>
  <si>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</si>
  <si>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</si>
  <si>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</si>
  <si>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</si>
  <si>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</si>
  <si>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</si>
  <si>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</si>
  <si>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</si>
  <si>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</si>
  <si>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</si>
  <si>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</si>
  <si>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</si>
  <si>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</si>
  <si>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</si>
  <si>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</si>
  <si>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</si>
  <si>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</si>
  <si>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</si>
  <si>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</si>
  <si>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</si>
  <si>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</si>
  <si>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</si>
  <si>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</si>
  <si>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</si>
  <si>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</si>
  <si>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</si>
  <si>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</si>
  <si>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</si>
  <si>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</si>
  <si>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</si>
  <si>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</si>
  <si>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</si>
  <si>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</si>
  <si>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</si>
  <si>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</si>
  <si>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</si>
  <si>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</si>
  <si>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</si>
  <si>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</si>
  <si>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</si>
  <si>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</si>
  <si>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</si>
  <si>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</si>
  <si>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</si>
  <si>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</si>
  <si>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</si>
  <si>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</si>
  <si>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</si>
  <si>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</si>
  <si>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</si>
  <si>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</si>
  <si>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</si>
  <si>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</si>
  <si>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</si>
  <si>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</si>
  <si>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</si>
  <si>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</si>
  <si>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</si>
  <si>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</si>
  <si>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</si>
  <si>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</si>
  <si>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</si>
  <si>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</si>
  <si>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</si>
  <si>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</si>
  <si>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</si>
  <si>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</si>
  <si>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</si>
  <si>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</si>
  <si>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</si>
  <si>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</si>
  <si>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</si>
  <si>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</si>
  <si>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</si>
  <si>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</si>
  <si>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</si>
  <si>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</si>
  <si>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</si>
  <si>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</si>
  <si>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</si>
  <si>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</si>
  <si>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</si>
  <si>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</si>
  <si>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</si>
  <si>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</si>
  <si>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</si>
  <si>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</si>
  <si>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</si>
  <si>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</si>
  <si>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</si>
  <si>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</si>
  <si>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</si>
  <si>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</si>
  <si>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</si>
  <si>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</si>
  <si>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</si>
  <si>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</si>
  <si>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</si>
  <si>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</si>
  <si>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</si>
  <si>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</si>
  <si>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</si>
  <si>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</si>
  <si>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</si>
  <si>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</si>
  <si>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</si>
  <si>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</si>
  <si>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</si>
  <si>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</si>
  <si>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</si>
  <si>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</si>
  <si>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</si>
  <si>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</si>
  <si>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</si>
  <si>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</si>
  <si>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</si>
  <si>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</si>
  <si>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</si>
  <si>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</si>
  <si>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</si>
  <si>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</si>
  <si>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</si>
  <si>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</si>
  <si>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</si>
  <si>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</si>
  <si>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</si>
  <si>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</si>
  <si>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</si>
  <si>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</si>
  <si>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</si>
  <si>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</si>
  <si>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</si>
  <si>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</si>
  <si>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</si>
  <si>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</si>
  <si>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</si>
  <si>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</si>
  <si>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</si>
  <si>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</si>
  <si>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</si>
  <si>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</si>
  <si>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</si>
  <si>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</si>
  <si>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</si>
  <si>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</si>
  <si>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</si>
  <si>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</si>
  <si>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</si>
  <si>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</si>
  <si>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</si>
  <si>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</si>
  <si>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</si>
  <si>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</si>
  <si>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</si>
  <si>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</si>
  <si>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</si>
  <si>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</si>
  <si>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</si>
  <si>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</si>
  <si>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</si>
  <si>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</si>
  <si>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</si>
  <si>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</si>
  <si>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</si>
  <si>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</si>
  <si>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</si>
  <si>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</si>
  <si>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</si>
  <si>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</si>
  <si>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</si>
  <si>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</si>
  <si>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</si>
  <si>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</si>
  <si>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</si>
  <si>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</si>
  <si>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</si>
  <si>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</si>
  <si>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</si>
  <si>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</si>
  <si>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</si>
  <si>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</si>
  <si>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</si>
  <si>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</si>
  <si>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</si>
  <si>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</si>
  <si>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</si>
  <si>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</si>
  <si>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</si>
  <si>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</si>
  <si>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</si>
  <si>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</si>
  <si>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</si>
  <si>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</si>
  <si>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</si>
  <si>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</si>
  <si>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</si>
  <si>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</si>
  <si>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</si>
  <si>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</si>
  <si>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</si>
  <si>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</si>
  <si>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</si>
  <si>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</si>
  <si>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</si>
  <si>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</si>
  <si>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</si>
  <si>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</si>
  <si>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</si>
  <si>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</si>
  <si>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</si>
  <si>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</si>
  <si>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</si>
  <si>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</si>
  <si>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</si>
  <si>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</si>
  <si>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</si>
  <si>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</si>
  <si>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</si>
  <si>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</si>
  <si>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</si>
  <si>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</si>
  <si>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</si>
  <si>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</si>
  <si>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</si>
  <si>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</si>
  <si>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</si>
  <si>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</si>
  <si>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</si>
  <si>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</si>
  <si>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</si>
  <si>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</si>
  <si>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</si>
  <si>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</si>
  <si>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</si>
  <si>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</si>
  <si>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</si>
  <si>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</si>
  <si>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</si>
  <si>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</si>
  <si>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</si>
  <si>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</si>
  <si>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</si>
  <si>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</si>
  <si>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</si>
  <si>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</si>
  <si>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</si>
  <si>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</si>
  <si>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</si>
  <si>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</si>
  <si>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</si>
  <si>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</si>
  <si>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</si>
  <si>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</si>
  <si>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</si>
  <si>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</si>
  <si>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</si>
  <si>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</si>
  <si>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</si>
  <si>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</si>
  <si>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</si>
  <si>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</si>
  <si>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</si>
  <si>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</si>
  <si>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</si>
  <si>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</si>
  <si>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</si>
  <si>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</si>
  <si>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</si>
  <si>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</si>
  <si>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</si>
  <si>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</si>
  <si>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</si>
  <si>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</si>
  <si>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</si>
  <si>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</si>
  <si>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</si>
  <si>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</si>
  <si>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</si>
  <si>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</si>
  <si>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</si>
  <si>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</si>
  <si>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</si>
  <si>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</si>
  <si>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</si>
  <si>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</si>
  <si>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</si>
  <si>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</si>
  <si>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</si>
  <si>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</si>
  <si>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</si>
  <si>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</si>
  <si>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</si>
  <si>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</si>
  <si>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</si>
  <si>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</si>
  <si>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</si>
  <si>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</si>
  <si>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</si>
  <si>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</si>
  <si>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</si>
  <si>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</si>
  <si>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</si>
  <si>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</si>
  <si>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</si>
  <si>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</si>
  <si>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</si>
  <si>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</si>
  <si>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</si>
  <si>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</si>
  <si>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</si>
  <si>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</si>
  <si>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</si>
  <si>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</si>
  <si>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</si>
  <si>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</si>
  <si>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</si>
  <si>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</si>
  <si>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</si>
  <si>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</si>
  <si>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</si>
  <si>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</si>
  <si>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</si>
  <si>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</si>
  <si>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</si>
  <si>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</si>
  <si>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</si>
  <si>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</si>
  <si>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</si>
  <si>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</si>
  <si>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</si>
  <si>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</si>
  <si>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</si>
  <si>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</si>
  <si>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</si>
  <si>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</si>
  <si>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</si>
  <si>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</si>
  <si>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</si>
  <si>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</si>
  <si>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</si>
  <si>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</si>
  <si>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</si>
  <si>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</si>
  <si>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</si>
  <si>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</si>
  <si>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</si>
  <si>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</si>
  <si>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</si>
  <si>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</si>
  <si>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</si>
  <si>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</si>
  <si>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</si>
  <si>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</si>
  <si>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</si>
  <si>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</si>
  <si>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</si>
  <si>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</si>
  <si>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</si>
  <si>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</si>
  <si>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</si>
  <si>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</si>
  <si>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</si>
  <si>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</si>
  <si>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</si>
  <si>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</si>
  <si>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</si>
  <si>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</si>
  <si>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</si>
  <si>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</si>
  <si>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</si>
  <si>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</si>
  <si>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</si>
  <si>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</si>
  <si>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</si>
  <si>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</si>
  <si>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</si>
  <si>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</si>
  <si>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</si>
  <si>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</si>
  <si>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</si>
  <si>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</si>
  <si>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</si>
  <si>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</si>
  <si>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</si>
  <si>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</si>
  <si>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</si>
  <si>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</si>
  <si>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</si>
  <si>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</si>
  <si>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</si>
  <si>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</si>
  <si>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</si>
  <si>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</si>
  <si>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</si>
  <si>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</si>
  <si>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</si>
  <si>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</si>
  <si>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</si>
  <si>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</si>
  <si>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</si>
  <si>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</si>
  <si>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</si>
  <si>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</si>
  <si>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</si>
  <si>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</si>
  <si>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</si>
  <si>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</si>
  <si>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</si>
  <si>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</si>
  <si>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</si>
  <si>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</si>
  <si>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</si>
  <si>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</si>
  <si>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</si>
  <si>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</si>
  <si>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</si>
  <si>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</si>
  <si>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</si>
  <si>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</si>
  <si>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</si>
  <si>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</si>
  <si>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</si>
  <si>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</si>
  <si>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</si>
  <si>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</si>
  <si>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</si>
  <si>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</si>
  <si>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</si>
  <si>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</si>
  <si>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</si>
  <si>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</si>
  <si>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</si>
  <si>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</si>
  <si>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</si>
  <si>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</si>
  <si>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</si>
  <si>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</si>
  <si>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</si>
  <si>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</si>
  <si>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</si>
  <si>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</si>
  <si>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</si>
  <si>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</si>
  <si>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</si>
  <si>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</si>
  <si>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</si>
  <si>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</si>
  <si>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</si>
  <si>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</si>
  <si>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</si>
  <si>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</si>
  <si>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</si>
  <si>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</si>
  <si>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</si>
  <si>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</si>
  <si>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</si>
  <si>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</si>
  <si>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</si>
  <si>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</si>
  <si>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</si>
  <si>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</si>
  <si>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</si>
  <si>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</si>
  <si>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</si>
  <si>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</si>
  <si>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</si>
  <si>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</si>
  <si>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</si>
  <si>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</si>
  <si>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</si>
  <si>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</si>
  <si>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</si>
  <si>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</si>
  <si>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</si>
  <si>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</si>
  <si>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</si>
  <si>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</si>
  <si>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</si>
  <si>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</si>
  <si>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</si>
  <si>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</si>
  <si>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</si>
  <si>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</si>
  <si>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</si>
  <si>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</si>
  <si>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</si>
  <si>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</si>
  <si>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</si>
  <si>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</si>
  <si>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</si>
  <si>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</si>
  <si>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</si>
  <si>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</si>
  <si>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</si>
  <si>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</si>
  <si>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</si>
  <si>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</si>
  <si>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</si>
  <si>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</si>
  <si>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</si>
  <si>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</si>
  <si>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</si>
  <si>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</si>
  <si>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</si>
  <si>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</si>
  <si>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</si>
  <si>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</si>
  <si>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</si>
  <si>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</si>
  <si>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</si>
  <si>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</si>
  <si>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</si>
  <si>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</si>
  <si>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</si>
  <si>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</si>
  <si>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</si>
  <si>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</si>
  <si>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</si>
  <si>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</si>
  <si>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</si>
  <si>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</si>
  <si>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</si>
  <si>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</si>
  <si>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</si>
  <si>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</si>
  <si>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</si>
  <si>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</si>
  <si>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</si>
  <si>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</si>
  <si>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</si>
  <si>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</si>
  <si>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</si>
  <si>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</si>
  <si>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</si>
  <si>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</si>
  <si>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</si>
  <si>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</si>
  <si>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</si>
  <si>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</si>
  <si>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</si>
  <si>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</si>
  <si>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</si>
  <si>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</si>
  <si>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</si>
  <si>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</si>
  <si>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</si>
  <si>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</si>
  <si>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</si>
  <si>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</si>
  <si>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</si>
  <si>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</si>
  <si>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</si>
  <si>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</si>
  <si>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</si>
  <si>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</si>
  <si>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</si>
  <si>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</si>
  <si>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</si>
  <si>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</si>
  <si>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</si>
  <si>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</si>
  <si>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</si>
  <si>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</si>
  <si>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</si>
  <si>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</si>
  <si>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</si>
  <si>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</si>
  <si>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</si>
  <si>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</si>
  <si>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</si>
  <si>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</si>
  <si>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</si>
  <si>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</si>
  <si>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</si>
  <si>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</si>
  <si>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</si>
  <si>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</si>
  <si>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</si>
  <si>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</si>
  <si>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</si>
  <si>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</si>
  <si>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</si>
  <si>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</si>
  <si>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</si>
  <si>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</si>
  <si>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</si>
  <si>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</si>
  <si>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</si>
  <si>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</si>
  <si>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</si>
  <si>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</si>
  <si>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</si>
  <si>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</si>
  <si>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</si>
  <si>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</si>
  <si>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</si>
  <si>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</si>
  <si>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</si>
  <si>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</si>
  <si>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</si>
  <si>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</si>
  <si>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</si>
  <si>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</si>
  <si>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</si>
  <si>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</si>
  <si>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</si>
  <si>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</si>
  <si>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</si>
  <si>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</si>
  <si>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</si>
  <si>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</si>
  <si>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</si>
  <si>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</si>
  <si>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</si>
  <si>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</si>
  <si>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</si>
  <si>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</si>
  <si>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</si>
  <si>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</si>
  <si>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</si>
  <si>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</si>
  <si>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</si>
  <si>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</si>
  <si>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</si>
  <si>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</si>
  <si>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</si>
  <si>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</si>
  <si>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</si>
  <si>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</si>
  <si>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</si>
  <si>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</si>
  <si>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</si>
  <si>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</si>
  <si>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</si>
  <si>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</si>
  <si>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</si>
  <si>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</si>
  <si>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</si>
  <si>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</si>
  <si>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</si>
  <si>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</si>
  <si>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</si>
  <si>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</si>
  <si>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</si>
  <si>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</si>
  <si>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</si>
  <si>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</si>
  <si>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</si>
  <si>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</si>
  <si>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</si>
  <si>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</si>
  <si>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</si>
  <si>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</si>
  <si>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</si>
  <si>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</si>
  <si>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</si>
  <si>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</si>
  <si>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</si>
  <si>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</si>
  <si>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</si>
  <si>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</si>
  <si>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</si>
  <si>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</si>
  <si>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</si>
  <si>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</si>
  <si>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</si>
  <si>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</si>
  <si>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</si>
  <si>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</si>
  <si>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</si>
  <si>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</si>
  <si>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</si>
  <si>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</si>
  <si>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</si>
  <si>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</si>
  <si>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</si>
  <si>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</si>
  <si>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</si>
  <si>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</si>
  <si>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</si>
  <si>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</si>
  <si>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</si>
  <si>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</si>
  <si>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</si>
  <si>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</si>
  <si>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</si>
  <si>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</si>
  <si>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</si>
  <si>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</si>
  <si>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</si>
  <si>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</si>
  <si>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</si>
  <si>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</si>
  <si>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</si>
  <si>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</si>
  <si>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</si>
  <si>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</si>
  <si>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</si>
  <si>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</si>
  <si>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</si>
  <si>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</si>
  <si>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</si>
  <si>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</si>
  <si>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</si>
  <si>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</si>
  <si>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</si>
  <si>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</si>
  <si>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</si>
  <si>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</si>
  <si>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</si>
  <si>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</si>
  <si>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</si>
  <si>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</si>
  <si>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</si>
  <si>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</si>
  <si>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</si>
  <si>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</si>
  <si>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</si>
  <si>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</si>
  <si>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</si>
  <si>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</si>
  <si>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</si>
  <si>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</si>
  <si>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</si>
  <si>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</si>
  <si>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</si>
  <si>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</si>
  <si>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</si>
  <si>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</si>
  <si>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</si>
  <si>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</si>
  <si>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</si>
  <si>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</si>
  <si>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</si>
  <si>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</si>
  <si>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</si>
  <si>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</si>
  <si>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</si>
  <si>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</si>
  <si>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</si>
  <si>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</si>
  <si>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</si>
  <si>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</si>
  <si>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</si>
  <si>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</si>
  <si>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</si>
  <si>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</si>
  <si>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</si>
  <si>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</si>
  <si>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</si>
  <si>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</si>
  <si>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</si>
  <si>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</si>
  <si>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</si>
  <si>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</si>
  <si>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</si>
  <si>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</si>
  <si>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</si>
  <si>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</si>
  <si>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</si>
  <si>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</si>
  <si>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</si>
  <si>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</si>
  <si>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</si>
  <si>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</si>
  <si>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</si>
  <si>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</si>
  <si>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</si>
  <si>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</si>
  <si>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</si>
  <si>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</si>
  <si>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</si>
  <si>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</si>
  <si>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</si>
  <si>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</si>
  <si>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</si>
  <si>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</si>
  <si>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</si>
  <si>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</si>
  <si>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</si>
  <si>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</si>
  <si>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</si>
  <si>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</si>
  <si>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</si>
  <si>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</si>
  <si>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</si>
  <si>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</si>
  <si>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</si>
  <si>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</si>
  <si>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</si>
  <si>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</si>
  <si>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</si>
  <si>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</si>
  <si>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</si>
  <si>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</si>
  <si>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</si>
  <si>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</si>
  <si>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</si>
  <si>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</si>
  <si>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</si>
  <si>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</si>
  <si>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</si>
  <si>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</si>
  <si>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</si>
  <si>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</si>
  <si>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</si>
  <si>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</si>
  <si>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</si>
  <si>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</si>
  <si>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</si>
  <si>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</si>
  <si>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</si>
  <si>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</si>
  <si>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</si>
  <si>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</si>
  <si>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</si>
  <si>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</si>
  <si>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</si>
  <si>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</si>
  <si>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</si>
  <si>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</si>
  <si>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</si>
  <si>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</si>
  <si>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</si>
  <si>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</si>
  <si>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</si>
  <si>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</si>
  <si>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</si>
  <si>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</si>
  <si>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</si>
  <si>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</si>
  <si>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</si>
  <si>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</si>
  <si>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</si>
  <si>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</si>
  <si>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</si>
  <si>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</si>
  <si>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</si>
  <si>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</si>
  <si>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</si>
  <si>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</si>
  <si>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</si>
  <si>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</si>
  <si>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</si>
  <si>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</si>
  <si>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</si>
  <si>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</si>
  <si>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</si>
  <si>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</si>
  <si>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</si>
  <si>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</si>
  <si>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</si>
  <si>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</si>
  <si>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</si>
  <si>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</si>
  <si>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</si>
  <si>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</si>
  <si>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</si>
  <si>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</si>
  <si>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</si>
  <si>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</si>
  <si>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</si>
  <si>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</si>
  <si>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</si>
  <si>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</si>
  <si>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</si>
  <si>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</si>
  <si>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</si>
  <si>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</si>
  <si>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</si>
  <si>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</si>
  <si>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</si>
  <si>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</si>
  <si>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</si>
  <si>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</si>
  <si>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</si>
  <si>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</si>
  <si>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</si>
  <si>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</si>
  <si>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</si>
  <si>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</si>
  <si>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</si>
  <si>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</si>
  <si>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</si>
  <si>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</si>
  <si>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</si>
  <si>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</si>
  <si>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</si>
  <si>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</si>
  <si>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</si>
  <si>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</si>
  <si>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</si>
  <si>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</si>
  <si>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</si>
  <si>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</si>
  <si>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</si>
  <si>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</si>
  <si>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</si>
  <si>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</si>
  <si>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</si>
  <si>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</si>
  <si>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</si>
  <si>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</si>
  <si>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</si>
  <si>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</si>
  <si>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</si>
  <si>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</si>
  <si>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</si>
  <si>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</si>
  <si>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</si>
  <si>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</si>
  <si>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</si>
  <si>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</si>
  <si>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</si>
  <si>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</si>
  <si>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</si>
  <si>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</si>
  <si>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</si>
  <si>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</si>
  <si>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</si>
  <si>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</si>
  <si>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</si>
  <si>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</si>
  <si>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</si>
  <si>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</si>
  <si>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</si>
  <si>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</si>
  <si>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</si>
  <si>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</si>
  <si>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</si>
  <si>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</si>
  <si>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</si>
  <si>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</si>
  <si>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</si>
  <si>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</si>
  <si>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</si>
  <si>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</si>
  <si>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</si>
  <si>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</si>
  <si>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</si>
  <si>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</si>
  <si>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</si>
  <si>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</si>
  <si>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</si>
  <si>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</si>
  <si>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</si>
  <si>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</si>
  <si>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</si>
  <si>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</si>
  <si>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</si>
  <si>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</si>
  <si>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</si>
  <si>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</si>
  <si>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</si>
  <si>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</si>
  <si>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</si>
  <si>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</si>
  <si>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</si>
  <si>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</si>
  <si>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</si>
  <si>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</si>
  <si>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</si>
  <si>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</si>
  <si>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</si>
  <si>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</si>
  <si>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</si>
  <si>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</si>
  <si>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</si>
  <si>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</si>
  <si>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</si>
  <si>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</si>
  <si>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</si>
  <si>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</si>
  <si>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</si>
  <si>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</si>
  <si>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</si>
  <si>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</si>
  <si>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</si>
  <si>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</si>
  <si>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</si>
  <si>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</si>
  <si>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</si>
  <si>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</si>
  <si>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</si>
  <si>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</si>
  <si>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</si>
  <si>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</si>
  <si>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</si>
  <si>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</si>
  <si>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</si>
  <si>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</si>
  <si>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</si>
  <si>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</si>
  <si>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</si>
  <si>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</si>
  <si>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</si>
  <si>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</si>
  <si>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</si>
  <si>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</si>
  <si>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</si>
  <si>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</si>
  <si>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</si>
  <si>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</si>
  <si>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</si>
  <si>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</si>
  <si>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</si>
  <si>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</si>
  <si>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</si>
  <si>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</si>
  <si>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</si>
  <si>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</si>
  <si>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</si>
  <si>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</si>
  <si>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</si>
  <si>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</si>
  <si>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</si>
  <si>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</si>
  <si>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</si>
  <si>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</si>
  <si>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</si>
  <si>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</si>
  <si>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</si>
  <si>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</si>
  <si>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</si>
  <si>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</si>
  <si>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</si>
  <si>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</si>
  <si>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</si>
  <si>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</si>
  <si>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</si>
  <si>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</si>
  <si>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</si>
  <si>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</si>
  <si>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</si>
  <si>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</si>
  <si>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</si>
  <si>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</si>
  <si>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</si>
  <si>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</si>
  <si>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</si>
  <si>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</si>
  <si>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</si>
  <si>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</si>
  <si>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</si>
  <si>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</si>
  <si>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</si>
  <si>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</si>
  <si>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</si>
  <si>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</si>
  <si>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</si>
  <si>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</si>
  <si>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</si>
  <si>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</si>
  <si>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</si>
  <si>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</si>
  <si>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</si>
  <si>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</si>
  <si>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</si>
  <si>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</si>
  <si>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</si>
  <si>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</si>
  <si>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</si>
  <si>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</si>
  <si>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</si>
  <si>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</si>
  <si>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</si>
  <si>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</si>
  <si>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</si>
  <si>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</si>
  <si>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</si>
  <si>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</si>
  <si>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</si>
  <si>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</si>
  <si>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</si>
  <si>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</si>
  <si>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</si>
  <si>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</si>
  <si>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</si>
  <si>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</si>
  <si>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</si>
  <si>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</si>
  <si>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</si>
  <si>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</si>
  <si>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</si>
  <si>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</si>
  <si>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</si>
  <si>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</si>
  <si>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</si>
  <si>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</si>
  <si>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</si>
  <si>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</si>
  <si>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</si>
  <si>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</si>
  <si>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</si>
  <si>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</si>
  <si>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</si>
  <si>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</si>
  <si>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</si>
  <si>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</si>
  <si>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</si>
  <si>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</si>
  <si>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</si>
  <si>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</si>
  <si>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</si>
  <si>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</si>
  <si>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</si>
  <si>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</si>
  <si>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</si>
  <si>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</si>
  <si>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</si>
  <si>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</si>
  <si>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</si>
  <si>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</si>
  <si>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</si>
  <si>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</si>
  <si>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</si>
  <si>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</si>
  <si>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</si>
  <si>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</si>
  <si>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</si>
  <si>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</si>
  <si>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</si>
  <si>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</si>
  <si>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</si>
  <si>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</si>
  <si>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</si>
  <si>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</si>
  <si>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</si>
  <si>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</si>
  <si>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</si>
  <si>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</si>
  <si>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</si>
  <si>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</si>
  <si>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</si>
  <si>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</si>
  <si>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</si>
  <si>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</si>
  <si>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</si>
  <si>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</si>
  <si>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</si>
  <si>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</si>
  <si>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</si>
  <si>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</si>
  <si>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</si>
  <si>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</si>
  <si>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</si>
  <si>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</si>
  <si>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</si>
  <si>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</si>
  <si>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</si>
  <si>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</si>
  <si>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</si>
  <si>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</si>
  <si>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</si>
  <si>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</si>
  <si>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</si>
  <si>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</si>
  <si>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</si>
  <si>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</si>
  <si>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</si>
  <si>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</si>
  <si>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</si>
  <si>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</si>
  <si>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</si>
  <si>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</si>
  <si>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</si>
  <si>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</si>
  <si>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</si>
  <si>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</si>
  <si>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</si>
  <si>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</si>
  <si>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</si>
  <si>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</si>
  <si>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</si>
  <si>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</si>
  <si>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</si>
  <si>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</si>
  <si>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</si>
  <si>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</si>
  <si>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</si>
  <si>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</si>
  <si>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</si>
  <si>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</si>
  <si>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</si>
  <si>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</si>
  <si>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</si>
  <si>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</si>
  <si>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</si>
  <si>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</si>
  <si>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</si>
  <si>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</si>
  <si>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</si>
  <si>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</si>
  <si>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</si>
  <si>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</si>
  <si>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</si>
  <si>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</si>
  <si>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</si>
  <si>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</si>
  <si>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</si>
  <si>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</si>
  <si>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</si>
  <si>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</si>
  <si>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</si>
  <si>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</si>
  <si>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</si>
  <si>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</si>
  <si>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</si>
  <si>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</si>
  <si>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</si>
  <si>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</si>
  <si>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</si>
  <si>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</si>
  <si>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</si>
  <si>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</si>
  <si>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</si>
  <si>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</si>
  <si>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</si>
  <si>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</si>
  <si>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</si>
  <si>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</si>
  <si>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</si>
  <si>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</si>
  <si>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</si>
  <si>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</si>
  <si>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</si>
  <si>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</si>
  <si>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</si>
  <si>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</si>
  <si>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</si>
  <si>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</si>
  <si>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</si>
  <si>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</si>
  <si>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</si>
  <si>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</si>
  <si>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</si>
  <si>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</si>
  <si>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</si>
  <si>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</si>
  <si>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</si>
  <si>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</si>
  <si>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</si>
  <si>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</si>
  <si>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</si>
  <si>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</si>
  <si>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</si>
  <si>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</si>
  <si>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</si>
  <si>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</si>
  <si>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</si>
  <si>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</si>
  <si>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</si>
  <si>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</si>
  <si>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</si>
  <si>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</si>
  <si>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</si>
  <si>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</si>
  <si>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</si>
  <si>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</si>
  <si>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</si>
  <si>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</si>
  <si>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</si>
  <si>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</si>
  <si>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</si>
  <si>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</si>
  <si>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</si>
  <si>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</si>
  <si>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</si>
  <si>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</si>
  <si>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</si>
  <si>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</si>
  <si>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</si>
  <si>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</si>
  <si>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</si>
  <si>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</si>
  <si>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</si>
  <si>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</si>
  <si>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</si>
  <si>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</si>
  <si>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</si>
  <si>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</si>
  <si>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</si>
  <si>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</si>
  <si>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</si>
  <si>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</si>
  <si>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</si>
  <si>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</si>
  <si>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</si>
  <si>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</si>
  <si>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</si>
  <si>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</si>
  <si>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</si>
  <si>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</si>
  <si>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</si>
  <si>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</si>
  <si>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</si>
  <si>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</si>
  <si>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</si>
  <si>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</si>
  <si>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</si>
  <si>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</si>
  <si>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</si>
  <si>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</si>
  <si>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</si>
  <si>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</si>
  <si>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</si>
  <si>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</si>
  <si>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</si>
  <si>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</si>
  <si>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</si>
  <si>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</si>
  <si>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</si>
  <si>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</si>
  <si>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</si>
  <si>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</si>
  <si>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</si>
  <si>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</si>
  <si>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</si>
  <si>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</si>
  <si>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</si>
  <si>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</si>
  <si>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</si>
  <si>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</si>
  <si>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</si>
  <si>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</si>
  <si>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</si>
  <si>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</si>
  <si>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</si>
  <si>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</si>
  <si>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</si>
  <si>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</si>
  <si>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</si>
  <si>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</si>
  <si>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</si>
  <si>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</si>
  <si>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</si>
  <si>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</si>
  <si>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</si>
  <si>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</si>
  <si>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</si>
  <si>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</si>
  <si>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</si>
  <si>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</si>
  <si>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</si>
  <si>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</si>
  <si>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</si>
  <si>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</si>
  <si>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</si>
  <si>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</si>
  <si>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</si>
  <si>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</si>
  <si>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</si>
  <si>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</si>
  <si>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</si>
  <si>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</si>
  <si>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</si>
  <si>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</si>
  <si>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</si>
  <si>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</si>
  <si>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</si>
  <si>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</si>
  <si>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</si>
  <si>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</si>
  <si>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</si>
  <si>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</si>
  <si>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</si>
  <si>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</si>
  <si>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</si>
  <si>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</si>
  <si>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</si>
  <si>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</si>
  <si>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</si>
  <si>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</si>
  <si>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</si>
  <si>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</si>
  <si>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</si>
  <si>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</si>
  <si>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</si>
  <si>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</si>
  <si>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</si>
  <si>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</si>
  <si>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</si>
  <si>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</si>
  <si>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</si>
  <si>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</si>
  <si>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</si>
  <si>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</si>
  <si>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</si>
  <si>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</si>
  <si>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</si>
  <si>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</si>
  <si>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</si>
  <si>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</si>
  <si>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</si>
  <si>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</si>
  <si>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</si>
  <si>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</si>
  <si>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</si>
  <si>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</si>
  <si>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</si>
  <si>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</si>
  <si>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</si>
  <si>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</si>
  <si>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</si>
  <si>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</si>
  <si>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</si>
  <si>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</si>
  <si>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</si>
  <si>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</si>
  <si>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</si>
  <si>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</si>
  <si>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</si>
  <si>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</si>
  <si>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</si>
  <si>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</si>
  <si>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</si>
  <si>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</si>
  <si>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</si>
  <si>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</si>
  <si>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</si>
  <si>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</si>
  <si>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</si>
  <si>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</si>
  <si>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</si>
  <si>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</si>
  <si>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</si>
  <si>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</si>
  <si>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</si>
  <si>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</si>
  <si>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</si>
  <si>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</si>
  <si>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</si>
  <si>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</si>
  <si>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</si>
  <si>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</si>
  <si>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</si>
  <si>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</si>
  <si>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</si>
  <si>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</si>
  <si>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</si>
  <si>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</si>
  <si>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</si>
  <si>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</si>
  <si>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</si>
  <si>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</si>
  <si>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</si>
  <si>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</si>
  <si>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</si>
  <si>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</si>
  <si>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</si>
  <si>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</si>
  <si>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</si>
  <si>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</si>
  <si>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</si>
  <si>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</si>
  <si>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</si>
  <si>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</si>
  <si>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</si>
  <si>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</si>
  <si>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</si>
  <si>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</si>
  <si>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</si>
  <si>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</si>
  <si>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</si>
  <si>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</si>
  <si>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</si>
  <si>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</si>
  <si>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</si>
  <si>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</si>
  <si>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</si>
  <si>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</si>
  <si>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</si>
  <si>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</si>
  <si>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</si>
  <si>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</si>
  <si>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</si>
  <si>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</si>
  <si>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</si>
  <si>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</si>
  <si>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</si>
  <si>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</si>
  <si>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</si>
  <si>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</si>
  <si>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</si>
  <si>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</si>
  <si>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</si>
  <si>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</si>
  <si>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</si>
  <si>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</si>
  <si>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</si>
  <si>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</si>
  <si>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</si>
  <si>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</si>
  <si>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</si>
  <si>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</si>
  <si>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</si>
  <si>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</si>
  <si>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</si>
  <si>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</si>
  <si>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</si>
  <si>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</si>
  <si>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</si>
  <si>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</si>
  <si>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</si>
  <si>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</si>
  <si>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</si>
  <si>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</si>
  <si>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</si>
  <si>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</si>
  <si>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</si>
  <si>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</si>
  <si>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</si>
  <si>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</si>
  <si>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</si>
  <si>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</si>
  <si>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</si>
  <si>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</si>
  <si>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</si>
  <si>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</si>
  <si>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</si>
  <si>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</si>
  <si>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</si>
  <si>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</si>
  <si>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</si>
  <si>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</si>
  <si>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</si>
  <si>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</si>
  <si>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</si>
  <si>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</si>
  <si>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</si>
  <si>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</si>
  <si>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</si>
  <si>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</si>
  <si>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</si>
  <si>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</si>
  <si>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</si>
  <si>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</si>
  <si>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</si>
  <si>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</si>
  <si>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</si>
  <si>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</si>
  <si>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</si>
  <si>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</si>
  <si>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</si>
  <si>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</si>
  <si>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</si>
  <si>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</si>
  <si>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</si>
  <si>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</si>
  <si>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</si>
  <si>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</si>
  <si>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</si>
  <si>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</si>
  <si>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</si>
  <si>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</si>
  <si>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</si>
  <si>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</si>
  <si>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</si>
  <si>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</si>
  <si>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</si>
  <si>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</si>
  <si>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</si>
  <si>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</si>
  <si>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</si>
  <si>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</si>
  <si>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</si>
  <si>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</si>
  <si>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</si>
  <si>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</si>
  <si>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</si>
  <si>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</si>
  <si>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</si>
  <si>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</si>
  <si>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</si>
  <si>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</si>
  <si>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</si>
  <si>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</si>
  <si>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</si>
  <si>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</si>
  <si>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</si>
  <si>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</si>
  <si>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</si>
  <si>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</si>
  <si>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</si>
  <si>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</si>
  <si>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</si>
  <si>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</si>
  <si>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</si>
  <si>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</si>
  <si>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</si>
  <si>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</si>
  <si>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</si>
  <si>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</si>
  <si>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</si>
  <si>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</si>
  <si>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</si>
  <si>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</si>
  <si>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</si>
  <si>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</si>
  <si>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</si>
  <si>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</si>
  <si>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</si>
  <si>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</si>
  <si>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</si>
  <si>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</si>
  <si>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</si>
  <si>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</si>
  <si>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</si>
  <si>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</si>
  <si>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</si>
  <si>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</si>
  <si>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</si>
  <si>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</si>
  <si>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</si>
  <si>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</si>
  <si>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</si>
  <si>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</si>
  <si>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</si>
  <si>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</si>
  <si>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</si>
  <si>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</si>
  <si>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</si>
  <si>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</si>
  <si>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</si>
  <si>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</si>
  <si>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</si>
  <si>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</si>
  <si>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</si>
  <si>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</si>
  <si>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</si>
  <si>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</si>
  <si>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</si>
  <si>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</si>
  <si>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</si>
  <si>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</si>
  <si>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</si>
  <si>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</si>
  <si>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</si>
  <si>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</si>
  <si>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</si>
  <si>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</si>
  <si>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</si>
  <si>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</si>
  <si>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</si>
  <si>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</si>
  <si>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</si>
  <si>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</si>
  <si>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</si>
  <si>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</si>
  <si>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</si>
  <si>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</si>
  <si>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</si>
  <si>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</si>
  <si>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</si>
  <si>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</si>
  <si>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</si>
  <si>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</si>
  <si>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</si>
  <si>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</si>
  <si>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</si>
  <si>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</si>
  <si>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</si>
  <si>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</si>
  <si>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</si>
  <si>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</si>
  <si>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</si>
  <si>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</si>
  <si>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</si>
  <si>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</si>
  <si>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</si>
  <si>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</si>
  <si>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</si>
  <si>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</si>
  <si>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</si>
  <si>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</si>
  <si>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</si>
  <si>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</si>
  <si>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</si>
  <si>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</si>
  <si>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</si>
  <si>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</si>
  <si>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</si>
  <si>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</si>
  <si>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</si>
  <si>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</si>
  <si>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</si>
  <si>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</si>
  <si>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</si>
  <si>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</si>
  <si>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</si>
  <si>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</si>
  <si>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</si>
  <si>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</si>
  <si>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</si>
  <si>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</si>
  <si>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</si>
  <si>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</si>
  <si>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</si>
  <si>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</si>
  <si>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</si>
  <si>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</si>
  <si>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</si>
  <si>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</si>
  <si>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</si>
  <si>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</si>
  <si>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</si>
  <si>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</si>
  <si>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</si>
  <si>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</si>
  <si>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</si>
  <si>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</si>
  <si>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</si>
  <si>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</si>
  <si>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</si>
  <si>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</si>
  <si>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</si>
  <si>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</si>
  <si>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</si>
  <si>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</si>
  <si>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</si>
  <si>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</si>
  <si>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</si>
  <si>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</si>
  <si>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</si>
  <si>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</si>
  <si>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</si>
  <si>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</si>
  <si>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</si>
  <si>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</si>
  <si>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</si>
  <si>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</si>
  <si>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</si>
  <si>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</si>
  <si>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</si>
  <si>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</si>
  <si>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</si>
  <si>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</si>
  <si>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</si>
  <si>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</si>
  <si>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</si>
  <si>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</si>
  <si>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</si>
  <si>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</si>
  <si>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</si>
  <si>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</si>
  <si>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</si>
  <si>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</si>
  <si>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</si>
  <si>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</si>
  <si>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</si>
  <si>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</si>
  <si>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</si>
  <si>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</si>
  <si>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</si>
  <si>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</si>
  <si>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</si>
  <si>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</si>
  <si>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</si>
  <si>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</si>
  <si>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</si>
  <si>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</si>
  <si>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</si>
  <si>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</si>
  <si>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</si>
  <si>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</si>
  <si>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</si>
  <si>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</si>
  <si>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</si>
  <si>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</si>
  <si>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</si>
  <si>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</si>
  <si>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</si>
  <si>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</si>
  <si>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</si>
  <si>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</si>
  <si>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</si>
  <si>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</si>
  <si>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</si>
  <si>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</si>
  <si>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</si>
  <si>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</si>
  <si>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</si>
  <si>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</si>
  <si>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</si>
  <si>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</si>
  <si>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</si>
  <si>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</si>
  <si>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</si>
  <si>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</si>
  <si>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</si>
  <si>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</si>
  <si>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</si>
  <si>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</si>
  <si>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</si>
  <si>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</si>
  <si>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</si>
  <si>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</si>
  <si>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</si>
  <si>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</si>
  <si>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</si>
  <si>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</si>
  <si>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</si>
  <si>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</si>
  <si>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</si>
  <si>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</si>
  <si>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</si>
  <si>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</si>
  <si>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</si>
  <si>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</si>
  <si>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</si>
  <si>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</si>
  <si>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</si>
  <si>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</si>
  <si>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</si>
  <si>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</si>
  <si>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</si>
  <si>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</si>
  <si>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</si>
  <si>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</si>
  <si>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</si>
  <si>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</si>
  <si>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</si>
  <si>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</si>
  <si>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</si>
  <si>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</si>
  <si>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</si>
  <si>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</si>
  <si>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</si>
  <si>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</si>
  <si>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</si>
  <si>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</si>
  <si>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</si>
  <si>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</si>
  <si>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</si>
  <si>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</si>
  <si>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</si>
  <si>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</si>
  <si>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</si>
  <si>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</si>
  <si>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</si>
  <si>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</si>
  <si>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</si>
  <si>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</si>
  <si>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</si>
  <si>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</si>
  <si>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</si>
  <si>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</si>
  <si>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</si>
  <si>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</si>
  <si>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</si>
  <si>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</si>
  <si>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</si>
  <si>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</si>
  <si>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</si>
  <si>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</si>
  <si>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</si>
  <si>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</si>
  <si>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</si>
  <si>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</si>
  <si>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</si>
  <si>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</si>
  <si>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</si>
  <si>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</si>
  <si>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</si>
  <si>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</si>
  <si>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</si>
  <si>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</si>
  <si>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</si>
  <si>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</si>
  <si>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</si>
  <si>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</si>
  <si>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</si>
  <si>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</si>
  <si>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</si>
  <si>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</si>
  <si>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</si>
  <si>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</si>
  <si>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</si>
  <si>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</si>
  <si>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</si>
  <si>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</si>
  <si>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</si>
  <si>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</si>
  <si>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</si>
  <si>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</si>
  <si>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</si>
  <si>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</si>
  <si>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</si>
  <si>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</si>
  <si>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</si>
  <si>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</si>
  <si>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</si>
  <si>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</si>
  <si>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</si>
  <si>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</si>
  <si>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</si>
  <si>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</si>
  <si>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</si>
  <si>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</si>
  <si>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</si>
  <si>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</si>
  <si>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</si>
  <si>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</si>
  <si>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</si>
  <si>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</si>
  <si>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</si>
  <si>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</si>
  <si>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</si>
  <si>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</si>
  <si>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</si>
  <si>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</si>
  <si>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</si>
  <si>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</si>
  <si>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</si>
  <si>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</si>
  <si>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</si>
  <si>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</si>
  <si>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</si>
  <si>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</si>
  <si>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</si>
  <si>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</si>
  <si>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</si>
  <si>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</si>
  <si>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</si>
  <si>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</si>
  <si>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</si>
  <si>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</si>
  <si>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</si>
  <si>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</si>
  <si>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</si>
  <si>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</si>
  <si>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</si>
  <si>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</si>
  <si>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</si>
  <si>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</si>
  <si>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</si>
  <si>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</si>
  <si>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</si>
  <si>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</si>
  <si>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</si>
  <si>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</si>
  <si>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</si>
  <si>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</si>
  <si>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</si>
  <si>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</si>
  <si>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</si>
  <si>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</si>
  <si>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</si>
  <si>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</si>
  <si>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</si>
  <si>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</si>
  <si>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</si>
  <si>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</si>
  <si>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</si>
  <si>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</si>
  <si>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</si>
  <si>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</si>
  <si>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</si>
  <si>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</si>
  <si>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</si>
  <si>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</si>
  <si>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</si>
  <si>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</si>
  <si>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</si>
  <si>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</si>
  <si>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</si>
  <si>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</si>
  <si>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</si>
  <si>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</si>
  <si>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</si>
  <si>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</si>
  <si>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</si>
  <si>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</si>
  <si>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</si>
  <si>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</si>
  <si>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</si>
  <si>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</si>
  <si>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</si>
  <si>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</si>
  <si>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</si>
  <si>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</si>
  <si>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</si>
  <si>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</si>
  <si>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</si>
  <si>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</si>
  <si>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</si>
  <si>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</si>
  <si>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</si>
  <si>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</si>
  <si>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</si>
  <si>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</si>
  <si>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</si>
  <si>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</si>
  <si>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</si>
  <si>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</si>
  <si>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</si>
  <si>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</si>
  <si>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</si>
  <si>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</si>
  <si>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</si>
  <si>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</si>
  <si>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</si>
  <si>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</si>
  <si>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</si>
  <si>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</si>
  <si>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</si>
  <si>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</si>
  <si>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</si>
  <si>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</si>
  <si>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</si>
  <si>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</si>
  <si>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</si>
  <si>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</si>
  <si>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</si>
  <si>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</si>
  <si>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</si>
  <si>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</si>
  <si>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</si>
  <si>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</si>
  <si>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</si>
  <si>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</si>
  <si>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</si>
  <si>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</si>
  <si>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</si>
  <si>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</si>
  <si>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</si>
  <si>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</si>
  <si>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</si>
  <si>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</si>
  <si>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</si>
  <si>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</si>
  <si>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</si>
  <si>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</si>
  <si>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</si>
  <si>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</si>
  <si>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</si>
  <si>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</si>
  <si>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</si>
  <si>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</si>
  <si>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</si>
  <si>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</si>
  <si>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</si>
  <si>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</si>
  <si>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</si>
  <si>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</si>
  <si>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</si>
  <si>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</si>
  <si>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</si>
  <si>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</si>
  <si>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</si>
  <si>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</si>
  <si>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</si>
  <si>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</si>
  <si>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</si>
  <si>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</si>
  <si>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</si>
  <si>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</si>
  <si>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</si>
  <si>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</si>
  <si>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</si>
  <si>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</si>
  <si>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</si>
  <si>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</si>
  <si>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</si>
  <si>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</si>
  <si>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</si>
  <si>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</si>
  <si>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</si>
  <si>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</si>
  <si>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</si>
  <si>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</si>
  <si>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</si>
  <si>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</si>
  <si>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</si>
  <si>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</si>
  <si>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</si>
  <si>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</si>
  <si>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</si>
  <si>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</si>
  <si>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</si>
  <si>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</si>
  <si>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</si>
  <si>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</si>
  <si>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</si>
  <si>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</si>
  <si>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</si>
  <si>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</si>
  <si>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</si>
  <si>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</si>
  <si>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</si>
  <si>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</si>
  <si>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</si>
  <si>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</si>
  <si>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</si>
  <si>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</si>
  <si>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</si>
  <si>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</si>
  <si>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</si>
  <si>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</si>
  <si>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</si>
  <si>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</si>
  <si>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</si>
  <si>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</si>
  <si>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</si>
  <si>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</si>
  <si>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</si>
  <si>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</si>
  <si>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</si>
  <si>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</si>
  <si>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</si>
  <si>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</si>
  <si>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</si>
  <si>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</si>
  <si>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</si>
  <si>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</si>
  <si>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</si>
  <si>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</si>
  <si>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</si>
  <si>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</si>
  <si>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</si>
  <si>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</si>
  <si>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</si>
  <si>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</si>
  <si>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</si>
  <si>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</si>
  <si>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</si>
  <si>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</si>
  <si>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</si>
  <si>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</si>
  <si>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</si>
  <si>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</si>
  <si>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</si>
  <si>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</si>
  <si>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</si>
  <si>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</si>
  <si>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</si>
  <si>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</si>
  <si>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</si>
  <si>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</si>
  <si>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</si>
  <si>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</si>
  <si>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</si>
  <si>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</si>
  <si>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</si>
  <si>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</si>
  <si>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</si>
  <si>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</si>
  <si>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</si>
  <si>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</si>
  <si>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</si>
  <si>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</si>
  <si>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</si>
  <si>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</si>
  <si>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</si>
  <si>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</si>
  <si>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</si>
  <si>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</si>
  <si>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</si>
  <si>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</si>
  <si>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</si>
  <si>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</si>
  <si>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</si>
  <si>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</si>
  <si>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</si>
  <si>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</si>
  <si>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</si>
  <si>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</si>
  <si>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</si>
  <si>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</si>
  <si>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</si>
  <si>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</si>
  <si>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</si>
  <si>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</si>
  <si>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</si>
  <si>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</si>
  <si>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</si>
  <si>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</si>
  <si>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</si>
  <si>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</si>
  <si>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</si>
  <si>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</si>
  <si>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</si>
  <si>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</si>
  <si>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</si>
  <si>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</si>
  <si>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</si>
  <si>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</si>
  <si>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</si>
  <si>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</si>
  <si>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</si>
  <si>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</si>
  <si>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</si>
  <si>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</si>
  <si>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</si>
  <si>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</si>
  <si>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</si>
  <si>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</si>
  <si>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</si>
  <si>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</si>
  <si>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</si>
  <si>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</si>
  <si>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</si>
  <si>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</si>
  <si>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</si>
  <si>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</si>
  <si>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</si>
  <si>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</si>
  <si>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</si>
  <si>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</si>
  <si>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</si>
  <si>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</si>
  <si>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</si>
  <si>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</si>
  <si>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</si>
  <si>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</si>
  <si>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</si>
  <si>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</si>
  <si>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</si>
  <si>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</si>
  <si>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</si>
  <si>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</si>
  <si>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</si>
  <si>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</si>
  <si>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</si>
  <si>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</si>
  <si>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</si>
  <si>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</si>
  <si>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</si>
  <si>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</si>
  <si>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</si>
  <si>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</si>
  <si>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</si>
  <si>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</si>
  <si>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</si>
  <si>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</si>
  <si>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</si>
  <si>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</si>
  <si>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</si>
  <si>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</si>
  <si>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</si>
  <si>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</si>
  <si>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</si>
  <si>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</si>
  <si>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</si>
  <si>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</si>
  <si>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</si>
  <si>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</si>
  <si>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</si>
  <si>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</si>
  <si>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</si>
  <si>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</si>
  <si>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</si>
  <si>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</si>
  <si>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</si>
  <si>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</si>
  <si>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</si>
  <si>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</si>
  <si>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</si>
  <si>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</si>
  <si>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</si>
  <si>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</si>
  <si>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</si>
  <si>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</si>
  <si>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</si>
  <si>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</si>
  <si>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</si>
  <si>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</si>
  <si>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</si>
  <si>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</si>
  <si>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</si>
  <si>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</si>
  <si>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</si>
  <si>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</si>
  <si>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</si>
  <si>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</si>
  <si>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</si>
  <si>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</si>
  <si>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</si>
  <si>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</si>
  <si>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</si>
  <si>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</si>
  <si>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</si>
  <si>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</si>
  <si>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</si>
  <si>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</si>
  <si>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</si>
  <si>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</si>
  <si>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</si>
  <si>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</si>
  <si>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</si>
  <si>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</si>
  <si>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</si>
  <si>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</si>
  <si>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</si>
  <si>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</si>
  <si>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</si>
  <si>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</si>
  <si>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</si>
  <si>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</si>
  <si>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</si>
  <si>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</si>
  <si>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</si>
  <si>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</si>
  <si>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</si>
  <si>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</si>
  <si>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</si>
  <si>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</si>
  <si>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</si>
  <si>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</si>
  <si>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</si>
  <si>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</si>
  <si>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</si>
  <si>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</si>
  <si>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</si>
  <si>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</si>
  <si>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</si>
  <si>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</si>
  <si>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</si>
  <si>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</si>
  <si>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</si>
  <si>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</si>
  <si>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</si>
  <si>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</si>
  <si>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</si>
  <si>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</si>
  <si>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</si>
  <si>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</si>
  <si>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</si>
  <si>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</si>
  <si>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</si>
  <si>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</si>
  <si>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</si>
  <si>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</si>
  <si>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</si>
  <si>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</si>
  <si>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</si>
  <si>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</si>
  <si>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</si>
  <si>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</si>
  <si>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</si>
  <si>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</si>
  <si>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</si>
  <si>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</si>
  <si>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</si>
  <si>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</si>
  <si>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</si>
  <si>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</si>
  <si>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</si>
  <si>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</si>
  <si>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</si>
  <si>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</si>
  <si>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</si>
  <si>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</si>
  <si>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</si>
  <si>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</si>
  <si>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</si>
  <si>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</si>
  <si>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</si>
  <si>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</si>
  <si>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</si>
  <si>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</si>
  <si>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</si>
  <si>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</si>
  <si>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</si>
  <si>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</si>
  <si>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</si>
  <si>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</si>
  <si>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</si>
  <si>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</si>
  <si>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</si>
  <si>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</si>
  <si>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</si>
  <si>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</si>
  <si>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</si>
  <si>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</si>
  <si>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</si>
  <si>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</si>
  <si>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</si>
  <si>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</si>
  <si>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</si>
  <si>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</si>
  <si>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</si>
  <si>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</si>
  <si>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</si>
  <si>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</si>
  <si>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</si>
  <si>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</si>
  <si>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</si>
  <si>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</si>
  <si>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</si>
  <si>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</si>
  <si>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</si>
  <si>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</si>
  <si>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</si>
  <si>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</si>
  <si>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</si>
  <si>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</si>
  <si>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</si>
  <si>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</si>
  <si>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</si>
  <si>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</si>
  <si>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</si>
  <si>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</si>
  <si>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</si>
  <si>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</si>
  <si>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</si>
  <si>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</si>
  <si>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</si>
  <si>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</si>
  <si>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</si>
  <si>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</si>
  <si>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</si>
  <si>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</si>
  <si>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</si>
  <si>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</si>
  <si>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</si>
  <si>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</si>
  <si>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</si>
  <si>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</si>
  <si>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</si>
  <si>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</si>
  <si>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</si>
  <si>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</si>
  <si>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</si>
  <si>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</si>
  <si>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</si>
  <si>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</si>
  <si>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</si>
  <si>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</si>
  <si>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</si>
  <si>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</si>
  <si>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</si>
  <si>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</si>
  <si>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</si>
  <si>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</si>
  <si>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</si>
  <si>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</si>
  <si>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</si>
  <si>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</si>
  <si>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</si>
  <si>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</si>
  <si>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</si>
  <si>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</si>
  <si>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</si>
  <si>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</si>
  <si>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</si>
  <si>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</si>
  <si>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</si>
  <si>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</si>
  <si>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</si>
  <si>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</si>
  <si>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</si>
  <si>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</si>
  <si>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</si>
  <si>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</si>
  <si>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</si>
  <si>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</si>
  <si>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</si>
  <si>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</si>
  <si>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</si>
  <si>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</si>
  <si>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</si>
  <si>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</si>
  <si>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</si>
  <si>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</si>
  <si>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</si>
  <si>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</si>
  <si>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</si>
  <si>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</si>
  <si>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</si>
  <si>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</si>
  <si>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</si>
  <si>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</si>
  <si>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</si>
  <si>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</si>
  <si>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</si>
  <si>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</si>
  <si>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</si>
  <si>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</si>
  <si>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</si>
  <si>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</si>
  <si>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</si>
  <si>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</si>
  <si>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</si>
  <si>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</si>
  <si>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</si>
  <si>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</si>
  <si>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</si>
  <si>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</si>
  <si>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</si>
  <si>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</si>
  <si>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</si>
  <si>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</si>
  <si>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</si>
  <si>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</si>
  <si>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</si>
  <si>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</si>
  <si>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</si>
  <si>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</si>
  <si>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</si>
  <si>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</si>
  <si>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</si>
  <si>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</si>
  <si>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</si>
  <si>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</si>
  <si>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</si>
  <si>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</si>
  <si>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</si>
  <si>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</si>
  <si>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</si>
  <si>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</si>
  <si>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</si>
  <si>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</si>
  <si>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</si>
  <si>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</si>
  <si>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</si>
  <si>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</si>
  <si>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</si>
  <si>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</si>
  <si>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</si>
  <si>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</si>
  <si>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</si>
  <si>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</si>
  <si>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</si>
  <si>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</si>
  <si>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</si>
  <si>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</si>
  <si>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</si>
  <si>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</si>
  <si>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</si>
  <si>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</si>
  <si>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</si>
  <si>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</si>
  <si>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</si>
  <si>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</si>
  <si>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</si>
  <si>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</si>
  <si>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</si>
  <si>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</si>
  <si>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</si>
  <si>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</si>
  <si>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</si>
  <si>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</si>
  <si>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</si>
  <si>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</si>
  <si>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</si>
  <si>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</si>
  <si>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</si>
  <si>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</si>
  <si>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</si>
  <si>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</si>
  <si>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</si>
  <si>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</si>
  <si>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</si>
  <si>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</si>
  <si>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</si>
  <si>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</si>
  <si>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</si>
  <si>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</si>
  <si>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</si>
  <si>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</si>
  <si>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</si>
  <si>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</si>
  <si>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</si>
  <si>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</si>
  <si>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</si>
  <si>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</si>
  <si>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</si>
  <si>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</si>
  <si>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</si>
  <si>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</si>
  <si>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</si>
  <si>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</si>
  <si>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</si>
  <si>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</si>
  <si>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</si>
  <si>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</si>
  <si>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</si>
  <si>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</si>
  <si>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</si>
  <si>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</si>
  <si>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</si>
  <si>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</si>
  <si>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</si>
  <si>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</si>
  <si>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</si>
  <si>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</si>
  <si>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</si>
  <si>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</si>
  <si>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</si>
  <si>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</si>
  <si>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</si>
  <si>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</si>
  <si>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</si>
  <si>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</si>
  <si>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</si>
  <si>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</si>
  <si>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</si>
  <si>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</si>
  <si>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</si>
  <si>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</si>
  <si>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</si>
  <si>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</si>
  <si>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</si>
  <si>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</si>
  <si>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</si>
  <si>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</si>
  <si>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</si>
  <si>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</si>
  <si>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</si>
  <si>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</si>
  <si>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</si>
  <si>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</si>
  <si>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</si>
  <si>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</si>
  <si>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</si>
  <si>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</si>
  <si>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</si>
  <si>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</si>
  <si>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</si>
  <si>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</si>
  <si>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</si>
  <si>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</si>
  <si>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</si>
  <si>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</si>
  <si>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</si>
  <si>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</si>
  <si>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</si>
  <si>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</si>
  <si>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</si>
  <si>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</si>
  <si>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</si>
  <si>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</si>
  <si>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</si>
  <si>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</si>
  <si>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</si>
  <si>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</si>
  <si>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</si>
  <si>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</si>
  <si>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</si>
  <si>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</si>
  <si>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</si>
  <si>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</si>
  <si>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</si>
  <si>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</si>
  <si>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</si>
  <si>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</si>
  <si>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</si>
  <si>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</si>
  <si>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</si>
  <si>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</si>
  <si>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</si>
  <si>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</si>
  <si>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</si>
  <si>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</si>
  <si>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</si>
  <si>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</si>
  <si>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</si>
  <si>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</si>
  <si>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</si>
  <si>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</si>
  <si>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</si>
  <si>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</si>
  <si>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</si>
  <si>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</si>
  <si>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</si>
  <si>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</si>
  <si>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</si>
  <si>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</si>
  <si>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</si>
  <si>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</si>
  <si>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</si>
  <si>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</si>
  <si>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</si>
  <si>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</si>
  <si>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</si>
  <si>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</si>
  <si>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</si>
  <si>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</si>
  <si>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</si>
  <si>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</si>
  <si>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</si>
  <si>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</si>
  <si>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</si>
  <si>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</si>
  <si>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</si>
  <si>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</si>
  <si>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</si>
  <si>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</si>
  <si>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</si>
  <si>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</si>
  <si>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</si>
  <si>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</si>
  <si>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</si>
  <si>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</si>
  <si>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</si>
  <si>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</si>
  <si>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</si>
  <si>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</si>
  <si>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</si>
  <si>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</si>
  <si>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</si>
  <si>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</si>
  <si>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</si>
  <si>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</si>
  <si>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</si>
  <si>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</si>
  <si>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</si>
  <si>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</si>
  <si>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</si>
  <si>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</si>
  <si>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</si>
  <si>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</si>
  <si>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</si>
  <si>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</si>
  <si>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</si>
  <si>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</si>
  <si>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</si>
  <si>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</si>
  <si>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</si>
  <si>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</si>
  <si>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</si>
  <si>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</si>
  <si>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</si>
  <si>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</si>
  <si>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</si>
  <si>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</si>
  <si>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</si>
  <si>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</si>
  <si>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</si>
  <si>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</si>
  <si>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</si>
  <si>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</si>
  <si>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</si>
  <si>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</si>
  <si>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</si>
  <si>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</si>
  <si>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</si>
  <si>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</si>
  <si>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</si>
  <si>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</si>
  <si>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</si>
  <si>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</si>
  <si>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</si>
  <si>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</si>
  <si>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</si>
  <si>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</si>
  <si>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</si>
  <si>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</si>
  <si>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</si>
  <si>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</si>
  <si>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</si>
  <si>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</si>
  <si>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</si>
  <si>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</si>
  <si>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</si>
  <si>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</si>
  <si>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</si>
  <si>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</si>
  <si>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</si>
  <si>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</si>
  <si>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</si>
  <si>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</si>
  <si>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</si>
  <si>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</si>
  <si>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</si>
  <si>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</si>
  <si>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</si>
  <si>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</si>
  <si>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</si>
  <si>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</si>
  <si>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</si>
  <si>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</si>
  <si>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</si>
  <si>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</si>
  <si>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</si>
  <si>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</si>
  <si>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</si>
  <si>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</si>
  <si>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</si>
  <si>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</si>
  <si>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</si>
  <si>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</si>
  <si>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</si>
  <si>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</si>
  <si>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</si>
  <si>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</si>
  <si>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</si>
  <si>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</si>
  <si>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</si>
  <si>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</si>
  <si>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</si>
  <si>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</si>
  <si>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</si>
  <si>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</si>
  <si>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</si>
  <si>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</si>
  <si>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</si>
  <si>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</si>
  <si>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</si>
  <si>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</si>
  <si>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</si>
  <si>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</si>
  <si>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</si>
  <si>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</si>
  <si>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</si>
  <si>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</si>
  <si>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</si>
  <si>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</si>
  <si>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</si>
  <si>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</si>
  <si>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</si>
  <si>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</si>
  <si>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</si>
  <si>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</si>
  <si>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</si>
  <si>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</si>
  <si>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</si>
  <si>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</si>
  <si>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</si>
  <si>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</si>
  <si>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</si>
  <si>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</si>
  <si>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</si>
  <si>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</si>
  <si>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</si>
  <si>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</si>
  <si>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</si>
  <si>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</si>
  <si>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</si>
  <si>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</si>
  <si>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</si>
  <si>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</si>
  <si>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</si>
  <si>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</si>
  <si>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</si>
  <si>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</si>
  <si>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</si>
  <si>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</si>
  <si>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</si>
  <si>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</si>
  <si>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</si>
  <si>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</si>
  <si>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</si>
  <si>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</si>
  <si>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</si>
  <si>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</si>
  <si>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</si>
  <si>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</si>
  <si>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</si>
  <si>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</si>
  <si>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</si>
  <si>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</si>
  <si>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</si>
  <si>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</si>
  <si>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</si>
  <si>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</si>
  <si>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</si>
  <si>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</si>
  <si>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</si>
  <si>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</si>
  <si>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</si>
  <si>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</si>
  <si>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</si>
  <si>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</si>
  <si>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</si>
  <si>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</si>
  <si>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</si>
  <si>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</si>
  <si>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</si>
  <si>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</si>
  <si>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</si>
  <si>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</si>
  <si>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</si>
  <si>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</si>
  <si>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</si>
  <si>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</si>
  <si>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</si>
  <si>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</si>
  <si>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</si>
  <si>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</si>
  <si>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</si>
  <si>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</si>
  <si>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</si>
  <si>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</si>
  <si>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</si>
  <si>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</si>
  <si>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</si>
  <si>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</si>
  <si>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</si>
  <si>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</si>
  <si>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</si>
  <si>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</si>
  <si>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</si>
  <si>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</si>
  <si>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</si>
  <si>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</si>
  <si>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</si>
  <si>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</si>
  <si>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</si>
  <si>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</si>
  <si>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</si>
  <si>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</si>
  <si>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</si>
  <si>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</si>
  <si>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</si>
  <si>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</si>
  <si>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</si>
  <si>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</si>
  <si>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</si>
  <si>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</si>
  <si>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</si>
  <si>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</si>
  <si>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</si>
  <si>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</si>
  <si>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</si>
  <si>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</si>
  <si>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</si>
  <si>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</si>
  <si>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</si>
  <si>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</si>
  <si>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</si>
  <si>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</si>
  <si>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</si>
  <si>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</si>
  <si>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</si>
  <si>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</si>
  <si>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</si>
  <si>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</si>
  <si>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</si>
  <si>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</si>
  <si>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</si>
  <si>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</si>
  <si>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</si>
  <si>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</si>
  <si>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</si>
  <si>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</si>
  <si>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</si>
  <si>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</si>
  <si>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</si>
  <si>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</si>
  <si>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</si>
  <si>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</si>
  <si>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</si>
  <si>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</si>
  <si>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</si>
  <si>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</si>
  <si>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</si>
  <si>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</si>
  <si>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</si>
  <si>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</si>
  <si>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</si>
  <si>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</si>
  <si>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</si>
  <si>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</si>
  <si>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</si>
  <si>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</si>
  <si>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</si>
  <si>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</si>
  <si>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</si>
  <si>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</si>
  <si>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</si>
  <si>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</si>
  <si>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</si>
  <si>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</si>
  <si>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</si>
  <si>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</si>
  <si>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</si>
  <si>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</si>
  <si>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</si>
  <si>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</si>
  <si>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</si>
  <si>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</si>
  <si>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</si>
  <si>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</si>
  <si>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</si>
  <si>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</si>
  <si>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</si>
  <si>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</si>
  <si>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</si>
  <si>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</si>
  <si>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</si>
  <si>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</si>
  <si>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</si>
  <si>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</si>
  <si>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</si>
  <si>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</si>
  <si>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</si>
  <si>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</si>
  <si>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</si>
  <si>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</si>
  <si>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</si>
  <si>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</si>
  <si>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</si>
  <si>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</si>
  <si>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</si>
  <si>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</si>
  <si>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</si>
  <si>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</si>
  <si>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</si>
  <si>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</si>
  <si>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</si>
  <si>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</si>
  <si>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</si>
  <si>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</si>
  <si>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</si>
  <si>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</si>
  <si>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</si>
  <si>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</si>
  <si>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</si>
  <si>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</si>
  <si>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</si>
  <si>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</si>
  <si>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</si>
  <si>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</si>
  <si>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</si>
  <si>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</si>
  <si>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</si>
  <si>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</si>
  <si>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</si>
  <si>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</si>
  <si>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</si>
  <si>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</si>
  <si>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</si>
  <si>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</si>
  <si>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</si>
  <si>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</si>
  <si>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</si>
  <si>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</si>
  <si>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</si>
  <si>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</si>
  <si>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</si>
  <si>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</si>
  <si>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</si>
  <si>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</si>
  <si>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</si>
  <si>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</si>
  <si>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</si>
  <si>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</si>
  <si>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</si>
  <si>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</si>
  <si>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</si>
  <si>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</si>
  <si>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</si>
  <si>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</si>
  <si>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</si>
  <si>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</si>
  <si>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</si>
  <si>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</si>
  <si>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</si>
  <si>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</si>
  <si>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</si>
  <si>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</si>
  <si>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</si>
  <si>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</si>
  <si>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</si>
  <si>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</si>
  <si>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</si>
  <si>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</si>
  <si>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</si>
  <si>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</si>
  <si>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</si>
  <si>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</si>
  <si>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</si>
  <si>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</si>
  <si>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</si>
  <si>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</si>
  <si>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</si>
  <si>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</si>
  <si>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</si>
  <si>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</si>
  <si>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</si>
  <si>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</si>
  <si>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</si>
  <si>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</si>
  <si>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</si>
  <si>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</si>
  <si>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</si>
  <si>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</si>
  <si>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</si>
  <si>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</si>
  <si>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</si>
  <si>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</si>
  <si>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</si>
  <si>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</si>
  <si>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</si>
  <si>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</si>
  <si>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</si>
  <si>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</si>
  <si>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</si>
  <si>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</si>
  <si>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</si>
  <si>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</si>
  <si>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</si>
  <si>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</si>
  <si>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</si>
  <si>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</si>
  <si>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</si>
  <si>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</si>
  <si>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</si>
  <si>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</si>
  <si>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</si>
  <si>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</si>
  <si>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</si>
  <si>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</si>
  <si>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</si>
  <si>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</si>
  <si>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</si>
  <si>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</si>
  <si>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</si>
  <si>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</si>
  <si>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</si>
  <si>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</si>
  <si>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</si>
  <si>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</si>
  <si>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</si>
  <si>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</si>
  <si>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</si>
  <si>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</si>
  <si>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</si>
  <si>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</si>
  <si>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</si>
  <si>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</si>
  <si>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</si>
  <si>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</si>
  <si>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</si>
  <si>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</si>
  <si>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</si>
  <si>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</si>
  <si>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</si>
  <si>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</si>
  <si>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</si>
  <si>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</si>
  <si>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</si>
  <si>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</si>
  <si>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</si>
  <si>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</si>
  <si>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</si>
  <si>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</si>
  <si>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</si>
  <si>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</si>
  <si>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</si>
  <si>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</si>
  <si>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</si>
  <si>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</si>
  <si>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</si>
  <si>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</si>
  <si>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</si>
  <si>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</si>
  <si>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</si>
  <si>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</si>
  <si>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</si>
  <si>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</si>
  <si>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</si>
  <si>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</si>
  <si>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</si>
  <si>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</si>
  <si>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</si>
  <si>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</si>
  <si>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</si>
  <si>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</si>
  <si>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</si>
  <si>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</si>
  <si>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</si>
  <si>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</si>
  <si>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</si>
  <si>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</si>
  <si>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</si>
  <si>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</si>
  <si>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</si>
  <si>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</si>
  <si>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</si>
  <si>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</si>
  <si>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</si>
  <si>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</si>
  <si>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</si>
  <si>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</si>
  <si>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</si>
  <si>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</si>
  <si>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</si>
  <si>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</si>
  <si>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</si>
  <si>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</si>
  <si>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</si>
  <si>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</si>
  <si>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</si>
  <si>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</si>
  <si>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</si>
  <si>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</si>
  <si>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</si>
  <si>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</si>
  <si>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</si>
  <si>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</si>
  <si>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</si>
  <si>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</si>
  <si>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</si>
  <si>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</si>
  <si>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</si>
  <si>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</si>
  <si>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</si>
  <si>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</si>
  <si>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</si>
  <si>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</si>
  <si>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</si>
  <si>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</si>
  <si>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</si>
  <si>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</si>
  <si>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</si>
  <si>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</si>
  <si>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</si>
  <si>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</si>
  <si>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</si>
  <si>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</si>
  <si>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</si>
  <si>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</si>
  <si>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</si>
  <si>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</si>
  <si>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</si>
  <si>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</si>
  <si>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</si>
  <si>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</si>
  <si>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</si>
  <si>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</si>
  <si>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</si>
  <si>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</si>
  <si>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</si>
  <si>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</si>
  <si>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</si>
  <si>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</si>
  <si>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</si>
  <si>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</si>
  <si>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</si>
  <si>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</si>
  <si>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</si>
  <si>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</si>
  <si>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</si>
  <si>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</si>
  <si>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</si>
  <si>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</si>
  <si>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</si>
  <si>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</si>
  <si>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</si>
  <si>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</si>
  <si>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</si>
  <si>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</si>
  <si>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</si>
  <si>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</si>
  <si>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</si>
  <si>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</si>
  <si>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</si>
  <si>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</si>
  <si>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</si>
  <si>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</si>
  <si>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</si>
  <si>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</si>
  <si>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</si>
  <si>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</si>
  <si>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</si>
  <si>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</si>
  <si>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</si>
  <si>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</si>
  <si>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</si>
  <si>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</si>
  <si>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</si>
  <si>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</si>
  <si>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</si>
  <si>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</si>
  <si>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</si>
  <si>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</si>
  <si>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</si>
  <si>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</si>
  <si>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</si>
  <si>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</si>
  <si>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</si>
  <si>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</si>
  <si>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</si>
  <si>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</si>
  <si>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</si>
  <si>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</si>
  <si>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</si>
  <si>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</si>
  <si>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</si>
  <si>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</si>
  <si>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</si>
  <si>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</si>
  <si>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</si>
  <si>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</si>
  <si>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</si>
  <si>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</si>
  <si>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</si>
  <si>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</si>
  <si>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</si>
  <si>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</si>
  <si>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</si>
  <si>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</si>
  <si>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</si>
  <si>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</si>
  <si>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</si>
  <si>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</si>
  <si>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</si>
  <si>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</si>
  <si>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</si>
  <si>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</si>
  <si>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</si>
  <si>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</si>
  <si>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</si>
  <si>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</si>
  <si>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</si>
  <si>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</si>
  <si>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</si>
  <si>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</si>
  <si>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</si>
  <si>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</si>
  <si>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</si>
  <si>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</si>
  <si>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</si>
  <si>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</si>
  <si>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</si>
  <si>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</si>
  <si>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</si>
  <si>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</si>
  <si>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</si>
  <si>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</si>
  <si>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</si>
  <si>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</si>
  <si>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</si>
  <si>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</si>
  <si>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</si>
  <si>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</si>
  <si>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</si>
  <si>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</si>
  <si>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</si>
  <si>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</si>
  <si>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</si>
  <si>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</si>
  <si>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</si>
  <si>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</si>
  <si>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</si>
  <si>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</si>
  <si>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</si>
  <si>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</si>
  <si>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</si>
  <si>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</si>
  <si>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</si>
  <si>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</si>
  <si>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</si>
  <si>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</si>
  <si>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</si>
  <si>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</si>
  <si>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</si>
  <si>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</si>
  <si>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</si>
  <si>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</si>
  <si>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</si>
  <si>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</si>
  <si>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</si>
  <si>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</si>
  <si>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</si>
  <si>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</si>
  <si>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</si>
  <si>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</si>
  <si>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</si>
  <si>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</si>
  <si>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</si>
  <si>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</si>
  <si>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</si>
  <si>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</si>
  <si>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</si>
  <si>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</si>
  <si>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</si>
  <si>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</si>
  <si>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</si>
  <si>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</si>
  <si>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</si>
  <si>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</si>
  <si>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</si>
  <si>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</si>
  <si>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</si>
  <si>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</si>
  <si>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</si>
  <si>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</si>
  <si>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</si>
  <si>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</si>
  <si>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</si>
  <si>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</si>
  <si>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</si>
  <si>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</si>
  <si>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</si>
  <si>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</si>
  <si>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</si>
  <si>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</si>
  <si>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</si>
  <si>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</si>
  <si>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</si>
  <si>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</si>
  <si>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</si>
  <si>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</si>
  <si>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</si>
  <si>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</si>
  <si>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</si>
  <si>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</si>
  <si>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</si>
  <si>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</si>
  <si>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</si>
  <si>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</si>
  <si>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</si>
  <si>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</si>
  <si>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</si>
  <si>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</si>
  <si>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</si>
  <si>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</si>
  <si>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</si>
  <si>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</si>
  <si>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</si>
  <si>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</si>
  <si>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</si>
  <si>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</si>
  <si>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</si>
  <si>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</si>
  <si>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</si>
  <si>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</si>
  <si>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</si>
  <si>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</si>
  <si>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</si>
  <si>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</si>
  <si>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</si>
  <si>
    <t xml:space="preserve">Integración geológica de la Península de Paria, Estado Sucre, Venezuela. </t>
  </si>
  <si>
    <t xml:space="preserve">Petrash, D.; Revanales, C. </t>
  </si>
  <si>
    <t>Trabajo Especial de Grado presentado ante la ilustre Universidad Central de Venezuela, para optar al título de Ingeniero Geólogo, Caracas, Junio 2006</t>
  </si>
  <si>
    <t xml:space="preserve">Solución al rompecabezas del origen del Golfo de México – Golfo de América, durante la rotura de la Pangaea, hace 200 millones de años. </t>
  </si>
  <si>
    <t xml:space="preserve">Edinson Alvarez </t>
  </si>
  <si>
    <t>MAYA, Revista de Geociencias 2026.</t>
  </si>
  <si>
    <t xml:space="preserve">Excursión geológica Quebrada La Ge. </t>
  </si>
  <si>
    <t xml:space="preserve">Shweighauser, J.; Boomer, A. J. </t>
  </si>
  <si>
    <t>III Congreso Geológico Venezolano, Compaňía Shell de Venezuela, 30 de Noviembre de 1959</t>
  </si>
  <si>
    <t xml:space="preserve">Rocas Paleozoicas en el sector Cerro Negro, Faja Petrolífera del Orinoco, Estado Monagas. </t>
  </si>
  <si>
    <t>Jam, P.; Santos, A. 1988</t>
  </si>
  <si>
    <t xml:space="preserve">Icnología de las formaciones Neogeno – Cuaternarias en Venezuela nororiental. </t>
  </si>
  <si>
    <t xml:space="preserve">Padrón, V.; Rey, O.; Zapata, E.; Estévez, J. A. </t>
  </si>
  <si>
    <t>Boletín de la Sociedad Venezolana de Geólogos, Volumen 25, Número 2, pp. 23 – 31, 2000</t>
  </si>
  <si>
    <t>Historia de la conquista y población de la Provincia de Venezuela.</t>
  </si>
  <si>
    <t>José de Oviedo y Baňos</t>
  </si>
  <si>
    <t>Biblioteca Ayacucho. Edición Tomás Eloy Martínez; Prólogo Tomás Eloy Martínez y Susana Rotker; Motas por Alicia Ríos; Cronología por Tomás Eloy Martínez; Bibliografía por Tomás Eloy Martínez y Alicia Ríos</t>
  </si>
  <si>
    <t xml:space="preserve">Huellas problemáticas y su valor paleoecológico en Venezuela. </t>
  </si>
  <si>
    <t>Revista GEOS, Número 16, Junio 1967</t>
  </si>
  <si>
    <t>https://mariantoc.github.io/stratigraphy.html#PetrashDRevanalesC2006</t>
  </si>
  <si>
    <t>https://mariantoc.github.io/topics.html#AlvarezE2026a</t>
  </si>
  <si>
    <t>https://mariantoc.github.io/excursions.html#ShweighauserJBoomerAJ1959</t>
  </si>
  <si>
    <t>https://mariantoc.github.io/stratigraphy.html#JamPSantosA1988</t>
  </si>
  <si>
    <t>https://mariantoc.github.io/stratigraphy.html#PadronVetal2000</t>
  </si>
  <si>
    <t>https://mariantoc.github.io/biography.html#OviedoJ1992</t>
  </si>
  <si>
    <t>https://mariantoc.github.io/stratigraphy.html#MacsotayO1967</t>
  </si>
  <si>
    <t xml:space="preserve">Análisis del shale oil y Venezuela. Historia, actualidad y futuro de la producción de yacimientos no convencionales en USA e impacto en la recuperación de la industria petrolera venezolana. </t>
  </si>
  <si>
    <t>Julián Salazar</t>
  </si>
  <si>
    <t>Tomado del perfil de LinkedIn de Julián Andrés Salazar Vásquez, 2026</t>
  </si>
  <si>
    <t xml:space="preserve">Avances de la Inteligencia Artificial aplicada al nannoplancton calcáreo. </t>
  </si>
  <si>
    <t>MAYA, Revista de Geociencias, Abril 2026</t>
  </si>
  <si>
    <t xml:space="preserve">Moritz Blumenthal, geólogo petrolero y andinista. </t>
  </si>
  <si>
    <t>MAYA. Revista de Geociencias, Abril 2026</t>
  </si>
  <si>
    <t xml:space="preserve">Resumen de la charla sobre el modelo sedimentológico del Miembro Inferior de la Formación Lagunillas, en los Bloques III y IV, en el área centro oriental del Lago de Maracaibo. </t>
  </si>
  <si>
    <t>Lizaveta Terán y Omar Colmenares</t>
  </si>
  <si>
    <t>Maraven S.A., Caracas, Venezuela, 6 de Agosto de 1987</t>
  </si>
  <si>
    <t>https://mariantoc.github.io/fields.html#SalazarJ2026</t>
  </si>
  <si>
    <t>https://mariantoc.github.io/stratigraphy.html#CastroM2026</t>
  </si>
  <si>
    <t>https://mariantoc.github.io/biography.html#RodriguezJA2026</t>
  </si>
  <si>
    <t>https://mariantoc.github.io/stratigraphy.html#TeranlColmenareso1987</t>
  </si>
  <si>
    <t xml:space="preserve">Daniel Alejandro Salcedo Rodríguez: Una impresionante trayectoria tanto profesional como docente. Individuo de Número de la Academia Nacional de la Ingeniería y el Hábitat, Venezuela. </t>
  </si>
  <si>
    <t>MAYA. Revista de Geociencias, Suplemento Especial Abril 2026, pp. 14 – 19</t>
  </si>
  <si>
    <t xml:space="preserve">Inírida Rodríguez Millán: Primera dama egresada como ingeniera geofísica de la ilustre Universidad Central de Venezuela. Miembro Correspondiente Nacional de la Academia Nacional de la Ingeniería y el Hábitat, Venezuela. </t>
  </si>
  <si>
    <t>MAYA. Revista de Geociencias, Suplemento Especial Abril 2026, pp. 7 – 13</t>
  </si>
  <si>
    <t xml:space="preserve">Pequeño bestiario Paleozoico. Quince animales sorprendentes que existieron mucho antes que los dinosaurios. </t>
  </si>
  <si>
    <t xml:space="preserve">Rubén Darío Martínez </t>
  </si>
  <si>
    <t>Comodora Rivadavia, Universidad de La Patagonia. EDUPA, 2021. Ilustradora: Julieta Caglianone</t>
  </si>
  <si>
    <t xml:space="preserve">Dunham’s carbonate rock classification. A Spanish terminology. </t>
  </si>
  <si>
    <t xml:space="preserve">Nicolás Gerardo Muňoz </t>
  </si>
  <si>
    <t>Carbonates and Evaporites, Vol. 5, No. 3, 1988, pp. 65 -66</t>
  </si>
  <si>
    <t xml:space="preserve">Technical report update on the Las Cristinas Project, Bolivar State, Venezuela. </t>
  </si>
  <si>
    <t xml:space="preserve">Ristorcelli, S.; Spencer, R.; Dyer, T.; Goode, J.; Evans, D.; Josic, L.; Sangam, H.; Jackson, H. </t>
  </si>
  <si>
    <t>Prepared for Crystallex International Corporation, November 7, 2007. Public report at SEDAR, file disclose and search for issuer information in Canada Capital Markets</t>
  </si>
  <si>
    <t>Estudio hidrogeoquímico de algunas manifestaciones termales presentes en Falcón noroccidental, Venezuela</t>
  </si>
  <si>
    <t xml:space="preserve">Montero, R. L.; Martínez, M.; Meléndez, W.; Garbán, G.; Ramos, F. </t>
  </si>
  <si>
    <t>Boletín de la Sociedad Venezolana de Geólogos, Volumen 27, Número 1, pp. 10 -23, 2002</t>
  </si>
  <si>
    <t>El yaguar en la mira.</t>
  </si>
  <si>
    <t>Carta Ecológica de Lagoven S.A., Noviembre – Diciembre, 1982</t>
  </si>
  <si>
    <t>https://mariantoc.github.io/biography.html#CastroM2026a</t>
  </si>
  <si>
    <t>https://mariantoc.github.io/biography.html#CastroM2026</t>
  </si>
  <si>
    <t>https://mariantoc.github.io/stratigraphy.html#MartinezRD2021</t>
  </si>
  <si>
    <t>https://mariantoc.github.io/stratigraphy.html#MunozNG1988</t>
  </si>
  <si>
    <t>https://mariantoc.github.io/minerals.html#RistorelliSetal2007</t>
  </si>
  <si>
    <t>https://mariantoc.github.io/hotsprings.html#MonteroRLetal2002</t>
  </si>
  <si>
    <t>https://mariantoc.github.io/ecology.html#Yaguar1982</t>
  </si>
  <si>
    <t>El culto al Dios Seth, creó la más antigua colección de fósiles de la historia.</t>
  </si>
  <si>
    <t xml:space="preserve">Appraisal of market value Las Brisas Gold Mining Concessions, Bolivar State, Venezuela. </t>
  </si>
  <si>
    <t>Trevor R. Ellis</t>
  </si>
  <si>
    <t>Tomado de SEDAR, Canada. Ellis International Services Inc., report date: April 17, 2006</t>
  </si>
  <si>
    <t xml:space="preserve">El sismo de Caracas de 1900 por Joseph Liechty, Director del Colegio Alemán de Caracas. </t>
  </si>
  <si>
    <t xml:space="preserve">José Antonio Rodríguez </t>
  </si>
  <si>
    <t>MAYA. Revista de Geociencias, Abril 2026.</t>
  </si>
  <si>
    <t xml:space="preserve">Diverse Devonian plant assemblages from western Venezuela. </t>
  </si>
  <si>
    <t xml:space="preserve">Berry, C.; Casas, J.E.; Moody, J. </t>
  </si>
  <si>
    <t>Table Ronde Européenne, Lyon, 7 – 9 Juillet, pp. 3, 1992</t>
  </si>
  <si>
    <t>Parque Nacional Sierra Nevada. Biotipo de características excepcionales.</t>
  </si>
  <si>
    <t>Carta Ecológica de Lagoven S.A. 1981.</t>
  </si>
  <si>
    <t xml:space="preserve">Guía excursión geológica al Caño Maraca. </t>
  </si>
  <si>
    <t xml:space="preserve">Ignacio Fierro S. </t>
  </si>
  <si>
    <t>Ministerio de Energía y Minas, División de Exploraciones Geológicas, Maracaibo, Agosto 1983</t>
  </si>
  <si>
    <t>Taller de descripción de rocas carbonáticas.</t>
  </si>
  <si>
    <t xml:space="preserve">Emma Kummerow </t>
  </si>
  <si>
    <t>Lagoven S.A., Departamento de Geología, Gerencia de Estudios Regionales, 1989</t>
  </si>
  <si>
    <t>https://mariantoc.github.io/topics.html#CasasJE2026</t>
  </si>
  <si>
    <t>https://mariantoc.github.io/minerals.html#EllisTR2006</t>
  </si>
  <si>
    <t>https://mariantoc.github.io/biography.html#RodriguezJA2026a</t>
  </si>
  <si>
    <t>https://mariantoc.github.io/stratigraphy.html#BerryCetal1992</t>
  </si>
  <si>
    <t>https://mariantoc.github.io/ecology.html#SierraNevada1981</t>
  </si>
  <si>
    <t>https://mariantoc.github.io/excursions.html#FierroI1983</t>
  </si>
  <si>
    <t>https://mariantoc.github.io/stratigraphy.html#KummerowE1989</t>
  </si>
  <si>
    <t xml:space="preserve">Technical report 43-101 on The Siembra Minera Project, Bolivar State, Venezuela. </t>
  </si>
  <si>
    <t xml:space="preserve">Lambert, R. J.; Miranda, H.; Texidor Carlson , J.; Altman, K.A.; Malensek, G.A. </t>
  </si>
  <si>
    <t>Tomado de SEDAR, Canada. RPA, Rock Solid Resources, March 16, 2018</t>
  </si>
  <si>
    <t xml:space="preserve">The diamond fields of Venezuela. </t>
  </si>
  <si>
    <t xml:space="preserve">John C. Davey </t>
  </si>
  <si>
    <t>Barncoose Terrace, Redruth, Cornwall, England, 1948. Engineering and Mining</t>
  </si>
  <si>
    <t xml:space="preserve">Algunos fósiles Ordovícicos de la Formación Caparo (Estado Barinas, Andes de Venezuela). </t>
  </si>
  <si>
    <t>Gutiérrez Marco, J. C.; Odreman Rivas, O. E.; Rabano, I.; Villas, E.</t>
  </si>
  <si>
    <t>Table Ronde Européenne, Lyon, France, pp. 27, 7 – 9 Julliet, 1992</t>
  </si>
  <si>
    <t>The Bocono Fault, Western Venezuela.</t>
  </si>
  <si>
    <t xml:space="preserve">Schubert, C.; Estévez, R.; Henneberg, H. </t>
  </si>
  <si>
    <t xml:space="preserve">¿Qué cantidad de agua tiene el país? </t>
  </si>
  <si>
    <t xml:space="preserve">Oscar González Pozo </t>
  </si>
  <si>
    <t>Carta Ecológica de Lagoven S.A., Número 42, Mayo – Junio, 1988</t>
  </si>
  <si>
    <t>Annales Tectonicae, Special Issue, Supplement to Volume VI, pp. 238 – 260, 1992</t>
  </si>
  <si>
    <t xml:space="preserve">Tertulia con Antonio Francés. Nuestro desarrollo no será posible sin el rescate moral del país. </t>
  </si>
  <si>
    <t xml:space="preserve">Gustavo Romero León </t>
  </si>
  <si>
    <t>Revista Nosotros, Lagoven S.A., Noviembre 1990</t>
  </si>
  <si>
    <t>Introducción a los Tintínidos.</t>
  </si>
  <si>
    <t xml:space="preserve">Mario Trejo </t>
  </si>
  <si>
    <t>Curso de Micropaleontología Aplicada, Universidad Autónoma de México, Instituto de Geología, Octubre 6 – 26, 1980</t>
  </si>
  <si>
    <t>https://mariantoc.github.io/minerals.html#LambertRJetal2018</t>
  </si>
  <si>
    <t>https://mariantoc.github.io/minerals.html#DaveyJC1948</t>
  </si>
  <si>
    <t>https://mariantoc.github.io/stratigraphy.html#GutierrezMetal1992</t>
  </si>
  <si>
    <t>https://mariantoc.github.io/structural.html#SchubertCetal1992</t>
  </si>
  <si>
    <t>https://mariantoc.github.io/ecology.html#GonzalezO1988</t>
  </si>
  <si>
    <t>https://mariantoc.github.io/biography.html#RomeroC1990</t>
  </si>
  <si>
    <t>https://mariantoc.github.io/stratigraphy.html#TrejoM1980</t>
  </si>
  <si>
    <t xml:space="preserve">Technical Report 43 – 101. Rusoro Mining, feasibility study expansion of gold production at Choco – 10 and Incredible – 6, Bolívar State, Venezuela. </t>
  </si>
  <si>
    <t xml:space="preserve">Makepeace, D.; Friedman, D.; Anderson, D.; Gowans, R.; Lane, G.; Jacobs, C. </t>
  </si>
  <si>
    <t>Tomado de SEDAR, Canadá. Micon International Limited, mineral industry consultants, December 2011</t>
  </si>
  <si>
    <t>Venezuela.</t>
  </si>
  <si>
    <t xml:space="preserve">Otto Renz </t>
  </si>
  <si>
    <t>In: Aspects of Mid-Cretaceous Regional Geology. R. A. Raymond &amp; P. Bengloan. Academic Press, London, 1981</t>
  </si>
  <si>
    <t>Reservas forestales, fuente inagotable de recursos. Cuanto le cuesta a la naturaleza formar un árbol.</t>
  </si>
  <si>
    <t>Walter Zimmermann</t>
  </si>
  <si>
    <t>Carta Ecológica de Lagoven S. A., Número 42, Mayo – Junio, 1988</t>
  </si>
  <si>
    <t>Jhonny Edgar Casas</t>
  </si>
  <si>
    <t>Boletín de la Academia de Ciencias Físicas, Matemáticas y Naturales, Volumen LXXXV, Número 2, 2025</t>
  </si>
  <si>
    <t xml:space="preserve">Efectos contaminantes de aditivos de perforación en estudios de petrografía orgánica. </t>
  </si>
  <si>
    <t>Nidya Jordan</t>
  </si>
  <si>
    <t>Revista Técnica de Intevep, Volumen 3, Número 2, pp. 161 – 166, 1983</t>
  </si>
  <si>
    <t xml:space="preserve">Evolución tectonoestratigráfica de la Serranía del Interior y de la Subcuenca de Maturín. </t>
  </si>
  <si>
    <t xml:space="preserve">Subieta, T.; Carnevalli, J.; Hunter, V. </t>
  </si>
  <si>
    <t>III Simposio Bolivariano de Exploración Petrolera de las Cuencas Subandinas, Caracas 13 – 16 de Marzo de 1988</t>
  </si>
  <si>
    <t xml:space="preserve">Curso de geodinámica y tectónica. Guía de campo, región nororiental de Venezuela. </t>
  </si>
  <si>
    <t xml:space="preserve">Chevalier, I.; Rossi, T.; Hernández, G.; Quintero, M. </t>
  </si>
  <si>
    <t>Lagoven S. A. Edición revisada en Febrero de 1985 por Gilbert Pottier, Pierre Jacout, Gustavo Hernández y Tomás Subieta</t>
  </si>
  <si>
    <t>https://mariantoc.github.io/minerals.html#MakepeaceDetal2011</t>
  </si>
  <si>
    <t>https://mariantoc.github.io/stratigraphy.html#RenzO1981</t>
  </si>
  <si>
    <t>https://mariantoc.github.io/topics.html#CasasJE2025g</t>
  </si>
  <si>
    <t>https://mariantoc.github.io/ecology.html#ZimmermannW1988</t>
  </si>
  <si>
    <t>https://mariantoc.github.io/geochemistry.html#JordanN1983</t>
  </si>
  <si>
    <t>https://mariantoc.github.io/structural.html#SubietaTetal1988</t>
  </si>
  <si>
    <t>https://mariantoc.github.io/excursions.html#ChevalierIetal1985</t>
  </si>
  <si>
    <t>Heródoto: Historiador, etnógrafo, geógrafo y ¿geólogo?</t>
  </si>
  <si>
    <t>Acta Final de la Primera Convención Venezolana de Geólogos, 17 al 20 de Septiembre de 1963.</t>
  </si>
  <si>
    <t>GEOS, Número 10, pp. 79 – 82, Marzo 1964</t>
  </si>
  <si>
    <t>The Guayana Highlands. Diamondiferous alluvial of the State of Bolivar, Venezuela.</t>
  </si>
  <si>
    <t>The Minig Magazine, January 1946</t>
  </si>
  <si>
    <t xml:space="preserve">Nehil Duque. Un baluarte de Upata, estado Bolívar, Venezuela. </t>
  </si>
  <si>
    <t>MAYA. Revista de Geociencias, Suplemento Mayo 2026</t>
  </si>
  <si>
    <t xml:space="preserve">Formaciones Mirador y Carbonera: Edad y relaciones estratigráficas en el Estado Táchira. </t>
  </si>
  <si>
    <t>Omar Colmenares y Lizaveta Terán</t>
  </si>
  <si>
    <t>Diagénesis y dolomitización en el Grupo Cogollo Inferior (Aptiense – Albiense). Un enfoque geomicrobiológico.</t>
  </si>
  <si>
    <t>Daniel A. Petrash</t>
  </si>
  <si>
    <t>Boletín de la Sociedad Venezolana de Geólogos, Volúmen 27, Número1, pp. 25 – 37, 2002</t>
  </si>
  <si>
    <t>Intevep S.A., Departamento de Ciencias de La Tierra, 1989</t>
  </si>
  <si>
    <t>Tres Parques Nacionales, tres joyas arqueológicas.</t>
  </si>
  <si>
    <t xml:space="preserve">Magdalena de Antczak y Andrzej Antczak </t>
  </si>
  <si>
    <t>Carta Ecológica de Lagoven S,A., Número 36, Mayo – Junio, 1987</t>
  </si>
  <si>
    <t>El sector de las rocas y minerales industriales en Venezuela durante el año 2001.</t>
  </si>
  <si>
    <t>Boletín de la Sociedad Venezolana de Geólogos, Volumen 27, Número1, pp. 67 – 68, 2002</t>
  </si>
  <si>
    <t>https://mariantoc.github.io/biography.html#Acta1963</t>
  </si>
  <si>
    <t>https://mariantoc.github.io/minerals.html#DaveyJC1946</t>
  </si>
  <si>
    <t>https://mariantoc.github.io/biography.html#CastroM2026b</t>
  </si>
  <si>
    <t>https://mariantoc.github.io/stratigraphy.html#ColmenaresOTeranL1989</t>
  </si>
  <si>
    <t>https://mariantoc.github.io/stratigraphy.html#PetrashDA2002</t>
  </si>
  <si>
    <t>https://mariantoc.github.io/ecology.html#AntczackMAntczackJ1987</t>
  </si>
  <si>
    <t>https://mariantoc.github.io/minerals.html#RodriguezSE2002</t>
  </si>
  <si>
    <t xml:space="preserve">Jesús S. Porras y Genaro Stabilito </t>
  </si>
  <si>
    <t>MAYA. Revista de Geociencias, Suplemento Especial, Mayo 2026</t>
  </si>
  <si>
    <t xml:space="preserve">La Piedra del Elefante: centinela del Caruachi, Guayana Venezolana. </t>
  </si>
  <si>
    <t>Paleoenvironmental changes in an Aptian restricted marine basin: the Machiques Formation of western Venezuela.</t>
  </si>
  <si>
    <t xml:space="preserve">Julio Vicente Pérez Infante y Paul Farrimond </t>
  </si>
  <si>
    <t>Publicado en: Ǿygard, K. (ed) 1993. Organic geochemistry poster from the 16th International Meeting of Organic Geochemistry, Stavanger, Norway</t>
  </si>
  <si>
    <t xml:space="preserve">Mesozoic – Cenozoic tectonic and stratigraphic development of the eastern Caribbean and northern South America: Implications for eastern Venezuela and Trinidad. </t>
  </si>
  <si>
    <t xml:space="preserve">James L. Pindell </t>
  </si>
  <si>
    <t>Darmouth College, Trinidad – Venezuela Project</t>
  </si>
  <si>
    <t xml:space="preserve">Estratigrafía del Cretáceo – Paleoceno – Eoceno de la Serranía del Interior, oriente de Venezuela. </t>
  </si>
  <si>
    <t xml:space="preserve">Hugo Rosales </t>
  </si>
  <si>
    <t>III Congreso Geológico Venezolano, Memorias, 22 de Noviembre de 1959</t>
  </si>
  <si>
    <t>Triásico.</t>
  </si>
  <si>
    <t xml:space="preserve">Frances Charlton de Rivero </t>
  </si>
  <si>
    <t>Apuntes de las clases de Geología Histórica de la profesora Frances Charlton de Rivero en la ilustre Universidad Central de Venezuela, Escuela de Geología 1958</t>
  </si>
  <si>
    <t>The Guayana Highlands. Gold deposits of the State Bolivar, Venezuela.</t>
  </si>
  <si>
    <t>John C. Davey</t>
  </si>
  <si>
    <t>The Mining Magazine, November 1945</t>
  </si>
  <si>
    <t xml:space="preserve">Campo Perla, Golfo de Venezuela. Visión técnica y regulatoria para una nueva frontera energética. </t>
  </si>
  <si>
    <t>José Reinaldo Sánchez Mistage</t>
  </si>
  <si>
    <t>MAYA. Revista de Geociencias, Mayo 2026</t>
  </si>
  <si>
    <t>https://mariantoc.github.io/biography.html#PorrasJSStabilitoG2026</t>
  </si>
  <si>
    <t>https://mariantoc.github.io/geochemistry.html#PerezJVFarrimondP1993</t>
  </si>
  <si>
    <t>https://mariantoc.github.io/structural.html#PindellJL1992</t>
  </si>
  <si>
    <t>https://mariantoc.github.io/stratigraphy.html#RosalesH1959</t>
  </si>
  <si>
    <t>https://mariantoc.github.io/stratigraphy.html#CharltonF1958</t>
  </si>
  <si>
    <t>https://mariantoc.github.io/minerals.html#DaveyJC1945</t>
  </si>
  <si>
    <t>https://mariantoc.github.io/fields.html#SanchezJR2026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</si>
</sst>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295"/>
  <sheetViews>
    <sheetView tabSelected="1" topLeftCell="A1256" zoomScaleNormal="100" workbookViewId="0">
      <selection activeCell="A1267" sqref="A1267"/>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t="s">
        <v>4470</v>
      </c>
      <c r="G1214" s="1" t="str">
        <f t="shared" si="37"/>
        <v>https://mariantoc.github.io/fields.html#PratoJ2026</v>
      </c>
    </row>
    <row r="1215" spans="1:7" x14ac:dyDescent="0.3">
      <c r="A1215">
        <f t="shared" si="38"/>
        <v>1214</v>
      </c>
      <c r="B1215" t="s">
        <v>4454</v>
      </c>
      <c r="C1215" t="s">
        <v>1570</v>
      </c>
      <c r="D1215">
        <v>2026</v>
      </c>
      <c r="E1215" t="s">
        <v>4455</v>
      </c>
      <c r="F1215" t="s">
        <v>4471</v>
      </c>
      <c r="G1215" s="1" t="str">
        <f t="shared" si="37"/>
        <v>https://mariantoc.github.io/topics.html#GoddardDA2026</v>
      </c>
    </row>
    <row r="1216" spans="1:7" x14ac:dyDescent="0.3">
      <c r="A1216">
        <f t="shared" si="38"/>
        <v>1215</v>
      </c>
      <c r="B1216" t="s">
        <v>4456</v>
      </c>
      <c r="C1216" t="s">
        <v>4457</v>
      </c>
      <c r="D1216">
        <v>2022</v>
      </c>
      <c r="E1216" t="s">
        <v>4458</v>
      </c>
      <c r="F1216" t="s">
        <v>4472</v>
      </c>
      <c r="G1216" s="1" t="str">
        <f t="shared" ref="G1216:G1273" si="39">HYPERLINK(F1216)</f>
        <v>https://mariantoc.github.io/minerals.html#DomenechCetal2022</v>
      </c>
    </row>
    <row r="1217" spans="1:7" x14ac:dyDescent="0.3">
      <c r="A1217">
        <f t="shared" ref="A1217:A1273" si="40">A1216+1</f>
        <v>1216</v>
      </c>
      <c r="B1217" t="s">
        <v>4459</v>
      </c>
      <c r="C1217" t="s">
        <v>4460</v>
      </c>
      <c r="D1217">
        <v>2009</v>
      </c>
      <c r="E1217" t="s">
        <v>4461</v>
      </c>
      <c r="F1217" t="s">
        <v>4473</v>
      </c>
      <c r="G1217" s="1" t="str">
        <f t="shared" si="39"/>
        <v>https://mariantoc.github.io/fields.html#SchenkCJetal2009</v>
      </c>
    </row>
    <row r="1218" spans="1:7" x14ac:dyDescent="0.3">
      <c r="A1218">
        <f t="shared" si="40"/>
        <v>1217</v>
      </c>
      <c r="B1218" t="s">
        <v>4462</v>
      </c>
      <c r="C1218" t="s">
        <v>4463</v>
      </c>
      <c r="D1218">
        <v>1945</v>
      </c>
      <c r="E1218" t="s">
        <v>4464</v>
      </c>
      <c r="F1218" t="s">
        <v>4474</v>
      </c>
      <c r="G1218" s="1" t="str">
        <f t="shared" si="39"/>
        <v>https://mariantoc.github.io/biography.html#BitterliPBaselB1945</v>
      </c>
    </row>
    <row r="1219" spans="1:7" x14ac:dyDescent="0.3">
      <c r="A1219">
        <f t="shared" si="40"/>
        <v>1218</v>
      </c>
      <c r="B1219" t="s">
        <v>4465</v>
      </c>
      <c r="C1219" t="s">
        <v>4466</v>
      </c>
      <c r="D1219">
        <v>1977</v>
      </c>
      <c r="E1219" t="s">
        <v>4433</v>
      </c>
      <c r="F1219" t="s">
        <v>4475</v>
      </c>
      <c r="G1219" s="1" t="str">
        <f t="shared" si="39"/>
        <v>https://mariantoc.github.io/speleology.html#PerezW1977</v>
      </c>
    </row>
    <row r="1220" spans="1:7" x14ac:dyDescent="0.3">
      <c r="A1220">
        <f t="shared" si="40"/>
        <v>1219</v>
      </c>
      <c r="B1220" t="s">
        <v>4467</v>
      </c>
      <c r="C1220" t="s">
        <v>4468</v>
      </c>
      <c r="D1220">
        <v>2005</v>
      </c>
      <c r="E1220" t="s">
        <v>4469</v>
      </c>
      <c r="F1220" t="s">
        <v>4476</v>
      </c>
      <c r="G1220" s="1" t="str">
        <f t="shared" si="39"/>
        <v>https://mariantoc.github.io/stratigraphy.html#MacsotayOPerazaT2005</v>
      </c>
    </row>
    <row r="1221" spans="1:7" x14ac:dyDescent="0.3">
      <c r="A1221">
        <f t="shared" si="40"/>
        <v>1220</v>
      </c>
      <c r="B1221" t="s">
        <v>4477</v>
      </c>
      <c r="C1221" t="s">
        <v>4478</v>
      </c>
      <c r="D1221">
        <v>2006</v>
      </c>
      <c r="E1221" t="s">
        <v>4479</v>
      </c>
      <c r="F1221" t="s">
        <v>4496</v>
      </c>
      <c r="G1221" s="1" t="str">
        <f t="shared" si="39"/>
        <v>https://mariantoc.github.io/stratigraphy.html#PetrashDRevanalesC2006</v>
      </c>
    </row>
    <row r="1222" spans="1:7" x14ac:dyDescent="0.3">
      <c r="A1222">
        <f t="shared" si="40"/>
        <v>1221</v>
      </c>
      <c r="B1222" t="s">
        <v>4480</v>
      </c>
      <c r="C1222" t="s">
        <v>4481</v>
      </c>
      <c r="D1222">
        <v>2026</v>
      </c>
      <c r="E1222" t="s">
        <v>4482</v>
      </c>
      <c r="F1222" t="s">
        <v>4497</v>
      </c>
      <c r="G1222" s="1" t="str">
        <f t="shared" si="39"/>
        <v>https://mariantoc.github.io/topics.html#AlvarezE2026a</v>
      </c>
    </row>
    <row r="1223" spans="1:7" x14ac:dyDescent="0.3">
      <c r="A1223">
        <f t="shared" si="40"/>
        <v>1222</v>
      </c>
      <c r="B1223" t="s">
        <v>4483</v>
      </c>
      <c r="C1223" t="s">
        <v>4484</v>
      </c>
      <c r="D1223">
        <v>1959</v>
      </c>
      <c r="E1223" t="s">
        <v>4485</v>
      </c>
      <c r="F1223" t="s">
        <v>4498</v>
      </c>
      <c r="G1223" s="1" t="str">
        <f t="shared" si="39"/>
        <v>https://mariantoc.github.io/excursions.html#ShweighauserJBoomerAJ1959</v>
      </c>
    </row>
    <row r="1224" spans="1:7" x14ac:dyDescent="0.3">
      <c r="A1224">
        <f t="shared" si="40"/>
        <v>1223</v>
      </c>
      <c r="B1224" t="s">
        <v>4486</v>
      </c>
      <c r="C1224" t="s">
        <v>4487</v>
      </c>
      <c r="D1224">
        <v>1988</v>
      </c>
      <c r="E1224" t="s">
        <v>1615</v>
      </c>
      <c r="F1224" t="s">
        <v>4499</v>
      </c>
      <c r="G1224" s="1" t="str">
        <f t="shared" si="39"/>
        <v>https://mariantoc.github.io/stratigraphy.html#JamPSantosA1988</v>
      </c>
    </row>
    <row r="1225" spans="1:7" x14ac:dyDescent="0.3">
      <c r="A1225">
        <f t="shared" si="40"/>
        <v>1224</v>
      </c>
      <c r="B1225" t="s">
        <v>4488</v>
      </c>
      <c r="C1225" t="s">
        <v>4489</v>
      </c>
      <c r="D1225">
        <v>2000</v>
      </c>
      <c r="E1225" t="s">
        <v>4490</v>
      </c>
      <c r="F1225" t="s">
        <v>4500</v>
      </c>
      <c r="G1225" s="1" t="str">
        <f t="shared" si="39"/>
        <v>https://mariantoc.github.io/stratigraphy.html#PadronVetal2000</v>
      </c>
    </row>
    <row r="1226" spans="1:7" x14ac:dyDescent="0.3">
      <c r="A1226">
        <f t="shared" si="40"/>
        <v>1225</v>
      </c>
      <c r="B1226" t="s">
        <v>4491</v>
      </c>
      <c r="C1226" t="s">
        <v>4492</v>
      </c>
      <c r="D1226">
        <v>1992</v>
      </c>
      <c r="E1226" t="s">
        <v>4493</v>
      </c>
      <c r="F1226" t="s">
        <v>4501</v>
      </c>
      <c r="G1226" s="1" t="str">
        <f t="shared" si="39"/>
        <v>https://mariantoc.github.io/biography.html#OviedoJ1992</v>
      </c>
    </row>
    <row r="1227" spans="1:7" x14ac:dyDescent="0.3">
      <c r="A1227">
        <f t="shared" si="40"/>
        <v>1226</v>
      </c>
      <c r="B1227" t="s">
        <v>4494</v>
      </c>
      <c r="C1227" t="s">
        <v>2239</v>
      </c>
      <c r="D1227">
        <v>1967</v>
      </c>
      <c r="E1227" t="s">
        <v>4495</v>
      </c>
      <c r="F1227" t="s">
        <v>4502</v>
      </c>
      <c r="G1227" s="1" t="str">
        <f t="shared" si="39"/>
        <v>https://mariantoc.github.io/stratigraphy.html#MacsotayO1967</v>
      </c>
    </row>
    <row r="1228" spans="1:7" x14ac:dyDescent="0.3">
      <c r="A1228">
        <f t="shared" si="40"/>
        <v>1227</v>
      </c>
      <c r="B1228" t="s">
        <v>4503</v>
      </c>
      <c r="C1228" t="s">
        <v>4504</v>
      </c>
      <c r="D1228">
        <v>2026</v>
      </c>
      <c r="E1228" t="s">
        <v>4505</v>
      </c>
      <c r="F1228" t="s">
        <v>4513</v>
      </c>
      <c r="G1228" s="1" t="str">
        <f t="shared" si="39"/>
        <v>https://mariantoc.github.io/fields.html#SalazarJ2026</v>
      </c>
    </row>
    <row r="1229" spans="1:7" x14ac:dyDescent="0.3">
      <c r="A1229">
        <f t="shared" si="40"/>
        <v>1228</v>
      </c>
      <c r="B1229" t="s">
        <v>4506</v>
      </c>
      <c r="C1229" t="s">
        <v>18</v>
      </c>
      <c r="D1229">
        <v>2026</v>
      </c>
      <c r="E1229" t="s">
        <v>4507</v>
      </c>
      <c r="F1229" t="s">
        <v>4514</v>
      </c>
      <c r="G1229" s="1" t="str">
        <f t="shared" si="39"/>
        <v>https://mariantoc.github.io/stratigraphy.html#CastroM2026</v>
      </c>
    </row>
    <row r="1230" spans="1:7" x14ac:dyDescent="0.3">
      <c r="A1230">
        <f t="shared" si="40"/>
        <v>1229</v>
      </c>
      <c r="B1230" t="s">
        <v>4508</v>
      </c>
      <c r="C1230" t="s">
        <v>341</v>
      </c>
      <c r="D1230">
        <v>2026</v>
      </c>
      <c r="E1230" t="s">
        <v>4509</v>
      </c>
      <c r="F1230" t="s">
        <v>4515</v>
      </c>
      <c r="G1230" s="1" t="str">
        <f t="shared" si="39"/>
        <v>https://mariantoc.github.io/biography.html#RodriguezJA2026</v>
      </c>
    </row>
    <row r="1231" spans="1:7" x14ac:dyDescent="0.3">
      <c r="A1231">
        <f t="shared" si="40"/>
        <v>1230</v>
      </c>
      <c r="B1231" t="s">
        <v>4510</v>
      </c>
      <c r="C1231" t="s">
        <v>4511</v>
      </c>
      <c r="D1231">
        <v>1987</v>
      </c>
      <c r="E1231" t="s">
        <v>4512</v>
      </c>
      <c r="F1231" t="s">
        <v>4516</v>
      </c>
      <c r="G1231" s="1" t="str">
        <f t="shared" si="39"/>
        <v>https://mariantoc.github.io/stratigraphy.html#TeranlColmenareso1987</v>
      </c>
    </row>
    <row r="1232" spans="1:7" x14ac:dyDescent="0.3">
      <c r="A1232">
        <f t="shared" si="40"/>
        <v>1231</v>
      </c>
      <c r="B1232" t="s">
        <v>4517</v>
      </c>
      <c r="C1232" t="s">
        <v>2880</v>
      </c>
      <c r="D1232">
        <v>2026</v>
      </c>
      <c r="E1232" t="s">
        <v>4518</v>
      </c>
      <c r="F1232" t="s">
        <v>4535</v>
      </c>
      <c r="G1232" s="1" t="str">
        <f t="shared" si="39"/>
        <v>https://mariantoc.github.io/biography.html#CastroM2026a</v>
      </c>
    </row>
    <row r="1233" spans="1:7" x14ac:dyDescent="0.3">
      <c r="A1233">
        <f t="shared" si="40"/>
        <v>1232</v>
      </c>
      <c r="B1233" t="s">
        <v>4519</v>
      </c>
      <c r="C1233" t="s">
        <v>18</v>
      </c>
      <c r="D1233">
        <v>2026</v>
      </c>
      <c r="E1233" t="s">
        <v>4520</v>
      </c>
      <c r="F1233" t="s">
        <v>4536</v>
      </c>
      <c r="G1233" s="1" t="str">
        <f t="shared" si="39"/>
        <v>https://mariantoc.github.io/biography.html#CastroM2026</v>
      </c>
    </row>
    <row r="1234" spans="1:7" x14ac:dyDescent="0.3">
      <c r="A1234">
        <f t="shared" si="40"/>
        <v>1233</v>
      </c>
      <c r="B1234" t="s">
        <v>4521</v>
      </c>
      <c r="C1234" t="s">
        <v>4522</v>
      </c>
      <c r="D1234">
        <v>2021</v>
      </c>
      <c r="E1234" t="s">
        <v>4523</v>
      </c>
      <c r="F1234" t="s">
        <v>4537</v>
      </c>
      <c r="G1234" s="1" t="str">
        <f t="shared" si="39"/>
        <v>https://mariantoc.github.io/stratigraphy.html#MartinezRD2021</v>
      </c>
    </row>
    <row r="1235" spans="1:7" x14ac:dyDescent="0.3">
      <c r="A1235">
        <f t="shared" si="40"/>
        <v>1234</v>
      </c>
      <c r="B1235" t="s">
        <v>4524</v>
      </c>
      <c r="C1235" t="s">
        <v>4525</v>
      </c>
      <c r="D1235">
        <v>1988</v>
      </c>
      <c r="E1235" t="s">
        <v>4526</v>
      </c>
      <c r="F1235" t="s">
        <v>4538</v>
      </c>
      <c r="G1235" s="1" t="str">
        <f t="shared" si="39"/>
        <v>https://mariantoc.github.io/stratigraphy.html#MunozNG1988</v>
      </c>
    </row>
    <row r="1236" spans="1:7" x14ac:dyDescent="0.3">
      <c r="A1236">
        <f t="shared" si="40"/>
        <v>1235</v>
      </c>
      <c r="B1236" t="s">
        <v>4527</v>
      </c>
      <c r="C1236" t="s">
        <v>4528</v>
      </c>
      <c r="D1236">
        <v>2007</v>
      </c>
      <c r="E1236" t="s">
        <v>4529</v>
      </c>
      <c r="F1236" t="s">
        <v>4539</v>
      </c>
      <c r="G1236" s="1" t="str">
        <f t="shared" si="39"/>
        <v>https://mariantoc.github.io/minerals.html#RistorelliSetal2007</v>
      </c>
    </row>
    <row r="1237" spans="1:7" x14ac:dyDescent="0.3">
      <c r="A1237">
        <f t="shared" si="40"/>
        <v>1236</v>
      </c>
      <c r="B1237" t="s">
        <v>4530</v>
      </c>
      <c r="C1237" t="s">
        <v>4531</v>
      </c>
      <c r="D1237">
        <v>2002</v>
      </c>
      <c r="E1237" t="s">
        <v>4532</v>
      </c>
      <c r="F1237" t="s">
        <v>4540</v>
      </c>
      <c r="G1237" s="1" t="str">
        <f t="shared" si="39"/>
        <v>https://mariantoc.github.io/hotsprings.html#MonteroRLetal2002</v>
      </c>
    </row>
    <row r="1238" spans="1:7" x14ac:dyDescent="0.3">
      <c r="A1238">
        <f t="shared" si="40"/>
        <v>1237</v>
      </c>
      <c r="B1238" t="s">
        <v>4533</v>
      </c>
      <c r="D1238">
        <v>1982</v>
      </c>
      <c r="E1238" t="s">
        <v>4534</v>
      </c>
      <c r="F1238" t="s">
        <v>4541</v>
      </c>
      <c r="G1238" s="1" t="str">
        <f t="shared" si="39"/>
        <v>https://mariantoc.github.io/ecology.html#Yaguar1982</v>
      </c>
    </row>
    <row r="1239" spans="1:7" x14ac:dyDescent="0.3">
      <c r="A1239">
        <f t="shared" si="40"/>
        <v>1238</v>
      </c>
      <c r="B1239" t="s">
        <v>4542</v>
      </c>
      <c r="C1239" t="s">
        <v>2451</v>
      </c>
      <c r="D1239">
        <v>2026</v>
      </c>
      <c r="E1239" t="s">
        <v>4509</v>
      </c>
      <c r="F1239" t="s">
        <v>4560</v>
      </c>
      <c r="G1239" s="1" t="str">
        <f t="shared" si="39"/>
        <v>https://mariantoc.github.io/topics.html#CasasJE2026</v>
      </c>
    </row>
    <row r="1240" spans="1:7" x14ac:dyDescent="0.3">
      <c r="A1240">
        <f t="shared" si="40"/>
        <v>1239</v>
      </c>
      <c r="B1240" t="s">
        <v>4543</v>
      </c>
      <c r="C1240" t="s">
        <v>4544</v>
      </c>
      <c r="D1240">
        <v>2006</v>
      </c>
      <c r="E1240" t="s">
        <v>4545</v>
      </c>
      <c r="F1240" t="s">
        <v>4561</v>
      </c>
      <c r="G1240" s="1" t="str">
        <f t="shared" si="39"/>
        <v>https://mariantoc.github.io/minerals.html#EllisTR2006</v>
      </c>
    </row>
    <row r="1241" spans="1:7" x14ac:dyDescent="0.3">
      <c r="A1241">
        <f t="shared" si="40"/>
        <v>1240</v>
      </c>
      <c r="B1241" t="s">
        <v>4546</v>
      </c>
      <c r="C1241" t="s">
        <v>4547</v>
      </c>
      <c r="D1241">
        <v>2026</v>
      </c>
      <c r="E1241" t="s">
        <v>4548</v>
      </c>
      <c r="F1241" t="s">
        <v>4562</v>
      </c>
      <c r="G1241" s="1" t="str">
        <f t="shared" si="39"/>
        <v>https://mariantoc.github.io/biography.html#RodriguezJA2026a</v>
      </c>
    </row>
    <row r="1242" spans="1:7" x14ac:dyDescent="0.3">
      <c r="A1242">
        <f t="shared" si="40"/>
        <v>1241</v>
      </c>
      <c r="B1242" t="s">
        <v>4549</v>
      </c>
      <c r="C1242" t="s">
        <v>4550</v>
      </c>
      <c r="D1242">
        <v>1992</v>
      </c>
      <c r="E1242" t="s">
        <v>4551</v>
      </c>
      <c r="F1242" t="s">
        <v>4563</v>
      </c>
      <c r="G1242" s="1" t="str">
        <f t="shared" si="39"/>
        <v>https://mariantoc.github.io/stratigraphy.html#BerryCetal1992</v>
      </c>
    </row>
    <row r="1243" spans="1:7" x14ac:dyDescent="0.3">
      <c r="A1243">
        <f t="shared" si="40"/>
        <v>1242</v>
      </c>
      <c r="B1243" t="s">
        <v>4552</v>
      </c>
      <c r="D1243">
        <v>1981</v>
      </c>
      <c r="E1243" t="s">
        <v>4553</v>
      </c>
      <c r="F1243" t="s">
        <v>4564</v>
      </c>
      <c r="G1243" s="1" t="str">
        <f t="shared" si="39"/>
        <v>https://mariantoc.github.io/ecology.html#SierraNevada1981</v>
      </c>
    </row>
    <row r="1244" spans="1:7" x14ac:dyDescent="0.3">
      <c r="A1244">
        <f t="shared" si="40"/>
        <v>1243</v>
      </c>
      <c r="B1244" t="s">
        <v>4554</v>
      </c>
      <c r="C1244" t="s">
        <v>4555</v>
      </c>
      <c r="D1244">
        <v>1983</v>
      </c>
      <c r="E1244" t="s">
        <v>4556</v>
      </c>
      <c r="F1244" t="s">
        <v>4565</v>
      </c>
      <c r="G1244" s="1" t="str">
        <f t="shared" si="39"/>
        <v>https://mariantoc.github.io/excursions.html#FierroI1983</v>
      </c>
    </row>
    <row r="1245" spans="1:7" x14ac:dyDescent="0.3">
      <c r="A1245">
        <f t="shared" si="40"/>
        <v>1244</v>
      </c>
      <c r="B1245" t="s">
        <v>4557</v>
      </c>
      <c r="C1245" t="s">
        <v>4558</v>
      </c>
      <c r="D1245">
        <v>1989</v>
      </c>
      <c r="E1245" t="s">
        <v>4559</v>
      </c>
      <c r="F1245" t="s">
        <v>4566</v>
      </c>
      <c r="G1245" s="1" t="str">
        <f t="shared" si="39"/>
        <v>https://mariantoc.github.io/stratigraphy.html#KummerowE1989</v>
      </c>
    </row>
    <row r="1246" spans="1:7" x14ac:dyDescent="0.3">
      <c r="A1246">
        <f t="shared" si="40"/>
        <v>1245</v>
      </c>
      <c r="B1246" t="s">
        <v>4567</v>
      </c>
      <c r="C1246" t="s">
        <v>4568</v>
      </c>
      <c r="D1246">
        <v>2018</v>
      </c>
      <c r="E1246" t="s">
        <v>4569</v>
      </c>
      <c r="F1246" t="s">
        <v>4588</v>
      </c>
      <c r="G1246" s="1" t="str">
        <f t="shared" si="39"/>
        <v>https://mariantoc.github.io/minerals.html#LambertRJetal2018</v>
      </c>
    </row>
    <row r="1247" spans="1:7" x14ac:dyDescent="0.3">
      <c r="A1247">
        <f t="shared" si="40"/>
        <v>1246</v>
      </c>
      <c r="B1247" t="s">
        <v>4570</v>
      </c>
      <c r="C1247" t="s">
        <v>4571</v>
      </c>
      <c r="D1247">
        <v>1948</v>
      </c>
      <c r="E1247" t="s">
        <v>4572</v>
      </c>
      <c r="F1247" t="s">
        <v>4589</v>
      </c>
      <c r="G1247" s="1" t="str">
        <f t="shared" si="39"/>
        <v>https://mariantoc.github.io/minerals.html#DaveyJC1948</v>
      </c>
    </row>
    <row r="1248" spans="1:7" x14ac:dyDescent="0.3">
      <c r="A1248">
        <f t="shared" si="40"/>
        <v>1247</v>
      </c>
      <c r="B1248" t="s">
        <v>4573</v>
      </c>
      <c r="C1248" t="s">
        <v>4574</v>
      </c>
      <c r="D1248">
        <v>1992</v>
      </c>
      <c r="E1248" t="s">
        <v>4575</v>
      </c>
      <c r="F1248" t="s">
        <v>4590</v>
      </c>
      <c r="G1248" s="1" t="str">
        <f t="shared" si="39"/>
        <v>https://mariantoc.github.io/stratigraphy.html#GutierrezMetal1992</v>
      </c>
    </row>
    <row r="1249" spans="1:7" x14ac:dyDescent="0.3">
      <c r="A1249">
        <f t="shared" si="40"/>
        <v>1248</v>
      </c>
      <c r="B1249" t="s">
        <v>4576</v>
      </c>
      <c r="C1249" t="s">
        <v>4577</v>
      </c>
      <c r="D1249">
        <v>1992</v>
      </c>
      <c r="E1249" t="s">
        <v>4581</v>
      </c>
      <c r="F1249" t="s">
        <v>4591</v>
      </c>
      <c r="G1249" s="1" t="str">
        <f t="shared" si="39"/>
        <v>https://mariantoc.github.io/structural.html#SchubertCetal1992</v>
      </c>
    </row>
    <row r="1250" spans="1:7" x14ac:dyDescent="0.3">
      <c r="A1250">
        <f t="shared" si="40"/>
        <v>1249</v>
      </c>
      <c r="B1250" t="s">
        <v>4578</v>
      </c>
      <c r="C1250" t="s">
        <v>4579</v>
      </c>
      <c r="D1250">
        <v>1988</v>
      </c>
      <c r="E1250" t="s">
        <v>4580</v>
      </c>
      <c r="F1250" t="s">
        <v>4592</v>
      </c>
      <c r="G1250" s="1" t="str">
        <f t="shared" si="39"/>
        <v>https://mariantoc.github.io/ecology.html#GonzalezO1988</v>
      </c>
    </row>
    <row r="1251" spans="1:7" x14ac:dyDescent="0.3">
      <c r="A1251">
        <f t="shared" si="40"/>
        <v>1250</v>
      </c>
      <c r="B1251" t="s">
        <v>4582</v>
      </c>
      <c r="C1251" t="s">
        <v>4583</v>
      </c>
      <c r="D1251">
        <v>1990</v>
      </c>
      <c r="E1251" t="s">
        <v>4584</v>
      </c>
      <c r="F1251" t="s">
        <v>4593</v>
      </c>
      <c r="G1251" s="1" t="str">
        <f t="shared" si="39"/>
        <v>https://mariantoc.github.io/biography.html#RomeroC1990</v>
      </c>
    </row>
    <row r="1252" spans="1:7" x14ac:dyDescent="0.3">
      <c r="A1252">
        <f t="shared" si="40"/>
        <v>1251</v>
      </c>
      <c r="B1252" t="s">
        <v>4585</v>
      </c>
      <c r="C1252" t="s">
        <v>4586</v>
      </c>
      <c r="D1252">
        <v>1980</v>
      </c>
      <c r="E1252" t="s">
        <v>4587</v>
      </c>
      <c r="F1252" t="s">
        <v>4594</v>
      </c>
      <c r="G1252" s="1" t="str">
        <f t="shared" si="39"/>
        <v>https://mariantoc.github.io/stratigraphy.html#TrejoM1980</v>
      </c>
    </row>
    <row r="1253" spans="1:7" x14ac:dyDescent="0.3">
      <c r="A1253">
        <f t="shared" si="40"/>
        <v>1252</v>
      </c>
      <c r="B1253" t="s">
        <v>4595</v>
      </c>
      <c r="C1253" t="s">
        <v>4596</v>
      </c>
      <c r="D1253">
        <v>2011</v>
      </c>
      <c r="E1253" t="s">
        <v>4597</v>
      </c>
      <c r="F1253" t="s">
        <v>4615</v>
      </c>
      <c r="G1253" s="1" t="str">
        <f t="shared" si="39"/>
        <v>https://mariantoc.github.io/minerals.html#MakepeaceDetal2011</v>
      </c>
    </row>
    <row r="1254" spans="1:7" x14ac:dyDescent="0.3">
      <c r="A1254">
        <f t="shared" si="40"/>
        <v>1253</v>
      </c>
      <c r="B1254" t="s">
        <v>4598</v>
      </c>
      <c r="C1254" t="s">
        <v>4599</v>
      </c>
      <c r="D1254">
        <v>1981</v>
      </c>
      <c r="E1254" t="s">
        <v>4600</v>
      </c>
      <c r="F1254" t="s">
        <v>4616</v>
      </c>
      <c r="G1254" s="1" t="str">
        <f t="shared" si="39"/>
        <v>https://mariantoc.github.io/stratigraphy.html#RenzO1981</v>
      </c>
    </row>
    <row r="1255" spans="1:7" x14ac:dyDescent="0.3">
      <c r="A1255">
        <f t="shared" si="40"/>
        <v>1254</v>
      </c>
      <c r="B1255" t="s">
        <v>4601</v>
      </c>
      <c r="C1255" t="s">
        <v>4602</v>
      </c>
      <c r="D1255">
        <v>1988</v>
      </c>
      <c r="E1255" t="s">
        <v>4603</v>
      </c>
      <c r="F1255" t="s">
        <v>4618</v>
      </c>
      <c r="G1255" s="1" t="str">
        <f t="shared" si="39"/>
        <v>https://mariantoc.github.io/ecology.html#ZimmermannW1988</v>
      </c>
    </row>
    <row r="1256" spans="1:7" x14ac:dyDescent="0.3">
      <c r="A1256">
        <f t="shared" si="40"/>
        <v>1255</v>
      </c>
      <c r="B1256" t="s">
        <v>4622</v>
      </c>
      <c r="C1256" t="s">
        <v>4604</v>
      </c>
      <c r="D1256">
        <v>2025</v>
      </c>
      <c r="E1256" t="s">
        <v>4605</v>
      </c>
      <c r="F1256" t="s">
        <v>4617</v>
      </c>
      <c r="G1256" s="1" t="str">
        <f t="shared" si="39"/>
        <v>https://mariantoc.github.io/topics.html#CasasJE2025g</v>
      </c>
    </row>
    <row r="1257" spans="1:7" x14ac:dyDescent="0.3">
      <c r="A1257">
        <f t="shared" si="40"/>
        <v>1256</v>
      </c>
      <c r="B1257" t="s">
        <v>4606</v>
      </c>
      <c r="C1257" t="s">
        <v>4607</v>
      </c>
      <c r="D1257">
        <v>1983</v>
      </c>
      <c r="E1257" t="s">
        <v>4608</v>
      </c>
      <c r="F1257" t="s">
        <v>4619</v>
      </c>
      <c r="G1257" s="1" t="str">
        <f t="shared" si="39"/>
        <v>https://mariantoc.github.io/geochemistry.html#JordanN1983</v>
      </c>
    </row>
    <row r="1258" spans="1:7" x14ac:dyDescent="0.3">
      <c r="A1258">
        <f t="shared" si="40"/>
        <v>1257</v>
      </c>
      <c r="B1258" t="s">
        <v>4609</v>
      </c>
      <c r="C1258" t="s">
        <v>4610</v>
      </c>
      <c r="D1258">
        <v>1988</v>
      </c>
      <c r="E1258" t="s">
        <v>4611</v>
      </c>
      <c r="F1258" t="s">
        <v>4620</v>
      </c>
      <c r="G1258" s="1" t="str">
        <f t="shared" si="39"/>
        <v>https://mariantoc.github.io/structural.html#SubietaTetal1988</v>
      </c>
    </row>
    <row r="1259" spans="1:7" x14ac:dyDescent="0.3">
      <c r="A1259">
        <f t="shared" si="40"/>
        <v>1258</v>
      </c>
      <c r="B1259" t="s">
        <v>4612</v>
      </c>
      <c r="C1259" t="s">
        <v>4613</v>
      </c>
      <c r="D1259">
        <v>1985</v>
      </c>
      <c r="E1259" t="s">
        <v>4614</v>
      </c>
      <c r="F1259" t="s">
        <v>4621</v>
      </c>
      <c r="G1259" s="1" t="str">
        <f t="shared" si="39"/>
        <v>https://mariantoc.github.io/excursions.html#ChevalierIetal1985</v>
      </c>
    </row>
    <row r="1260" spans="1:7" x14ac:dyDescent="0.3">
      <c r="A1260">
        <f t="shared" si="40"/>
        <v>1259</v>
      </c>
      <c r="B1260" t="s">
        <v>4623</v>
      </c>
      <c r="D1260">
        <v>1964</v>
      </c>
      <c r="E1260" t="s">
        <v>4624</v>
      </c>
      <c r="F1260" t="s">
        <v>4640</v>
      </c>
      <c r="G1260" s="1" t="str">
        <f t="shared" si="39"/>
        <v>https://mariantoc.github.io/biography.html#Acta1963</v>
      </c>
    </row>
    <row r="1261" spans="1:7" x14ac:dyDescent="0.3">
      <c r="A1261">
        <f t="shared" si="40"/>
        <v>1260</v>
      </c>
      <c r="B1261" t="s">
        <v>4625</v>
      </c>
      <c r="C1261" t="s">
        <v>4571</v>
      </c>
      <c r="D1261">
        <v>1946</v>
      </c>
      <c r="E1261" t="s">
        <v>4626</v>
      </c>
      <c r="F1261" t="s">
        <v>4641</v>
      </c>
      <c r="G1261" s="1" t="str">
        <f t="shared" si="39"/>
        <v>https://mariantoc.github.io/minerals.html#DaveyJC1946</v>
      </c>
    </row>
    <row r="1262" spans="1:7" x14ac:dyDescent="0.3">
      <c r="A1262">
        <f t="shared" si="40"/>
        <v>1261</v>
      </c>
      <c r="B1262" t="s">
        <v>4627</v>
      </c>
      <c r="C1262" t="s">
        <v>18</v>
      </c>
      <c r="D1262">
        <v>2026</v>
      </c>
      <c r="E1262" t="s">
        <v>4628</v>
      </c>
      <c r="F1262" t="s">
        <v>4642</v>
      </c>
      <c r="G1262" s="1" t="str">
        <f t="shared" si="39"/>
        <v>https://mariantoc.github.io/biography.html#CastroM2026b</v>
      </c>
    </row>
    <row r="1263" spans="1:7" x14ac:dyDescent="0.3">
      <c r="A1263">
        <f t="shared" si="40"/>
        <v>1262</v>
      </c>
      <c r="B1263" t="s">
        <v>4629</v>
      </c>
      <c r="C1263" t="s">
        <v>4630</v>
      </c>
      <c r="D1263">
        <v>1989</v>
      </c>
      <c r="E1263" t="s">
        <v>4634</v>
      </c>
      <c r="F1263" t="s">
        <v>4643</v>
      </c>
      <c r="G1263" s="1" t="str">
        <f t="shared" si="39"/>
        <v>https://mariantoc.github.io/stratigraphy.html#ColmenaresOTeranL1989</v>
      </c>
    </row>
    <row r="1264" spans="1:7" x14ac:dyDescent="0.3">
      <c r="A1264">
        <f t="shared" si="40"/>
        <v>1263</v>
      </c>
      <c r="B1264" t="s">
        <v>4631</v>
      </c>
      <c r="C1264" t="s">
        <v>4632</v>
      </c>
      <c r="D1264">
        <v>2002</v>
      </c>
      <c r="E1264" t="s">
        <v>4633</v>
      </c>
      <c r="F1264" t="s">
        <v>4644</v>
      </c>
      <c r="G1264" s="1" t="str">
        <f t="shared" si="39"/>
        <v>https://mariantoc.github.io/stratigraphy.html#PetrashDA2002</v>
      </c>
    </row>
    <row r="1265" spans="1:7" x14ac:dyDescent="0.3">
      <c r="A1265">
        <f t="shared" si="40"/>
        <v>1264</v>
      </c>
      <c r="B1265" t="s">
        <v>4635</v>
      </c>
      <c r="C1265" t="s">
        <v>4636</v>
      </c>
      <c r="D1265">
        <v>1987</v>
      </c>
      <c r="E1265" t="s">
        <v>4637</v>
      </c>
      <c r="F1265" t="s">
        <v>4645</v>
      </c>
      <c r="G1265" s="1" t="str">
        <f t="shared" si="39"/>
        <v>https://mariantoc.github.io/ecology.html#AntczackMAntczackJ1987</v>
      </c>
    </row>
    <row r="1266" spans="1:7" x14ac:dyDescent="0.3">
      <c r="A1266">
        <f t="shared" si="40"/>
        <v>1265</v>
      </c>
      <c r="B1266" t="s">
        <v>4638</v>
      </c>
      <c r="C1266" t="s">
        <v>83</v>
      </c>
      <c r="D1266">
        <v>2002</v>
      </c>
      <c r="E1266" t="s">
        <v>4639</v>
      </c>
      <c r="F1266" t="s">
        <v>4646</v>
      </c>
      <c r="G1266" s="1" t="str">
        <f t="shared" si="39"/>
        <v>https://mariantoc.github.io/minerals.html#RodriguezSE2002</v>
      </c>
    </row>
    <row r="1267" spans="1:7" x14ac:dyDescent="0.3">
      <c r="A1267">
        <f t="shared" si="40"/>
        <v>1266</v>
      </c>
      <c r="B1267" t="s">
        <v>4649</v>
      </c>
      <c r="C1267" t="s">
        <v>4647</v>
      </c>
      <c r="D1267">
        <v>2026</v>
      </c>
      <c r="E1267" t="s">
        <v>4648</v>
      </c>
      <c r="F1267" s="8" t="s">
        <v>4668</v>
      </c>
      <c r="G1267" s="1" t="str">
        <f t="shared" si="39"/>
        <v>https://mariantoc.github.io/biography.html#PorrasJSStabilitoG2026</v>
      </c>
    </row>
    <row r="1268" spans="1:7" x14ac:dyDescent="0.3">
      <c r="A1268">
        <f t="shared" si="40"/>
        <v>1267</v>
      </c>
      <c r="B1268" t="s">
        <v>4650</v>
      </c>
      <c r="C1268" t="s">
        <v>4651</v>
      </c>
      <c r="D1268">
        <v>1993</v>
      </c>
      <c r="E1268" t="s">
        <v>4652</v>
      </c>
      <c r="F1268" s="8" t="s">
        <v>4669</v>
      </c>
      <c r="G1268" s="1" t="str">
        <f t="shared" si="39"/>
        <v>https://mariantoc.github.io/geochemistry.html#PerezJVFarrimondP1993</v>
      </c>
    </row>
    <row r="1269" spans="1:7" x14ac:dyDescent="0.3">
      <c r="A1269">
        <f t="shared" si="40"/>
        <v>1268</v>
      </c>
      <c r="B1269" t="s">
        <v>4653</v>
      </c>
      <c r="C1269" t="s">
        <v>4654</v>
      </c>
      <c r="D1269">
        <v>1992</v>
      </c>
      <c r="E1269" t="s">
        <v>4655</v>
      </c>
      <c r="F1269" s="8" t="s">
        <v>4670</v>
      </c>
      <c r="G1269" s="1" t="str">
        <f t="shared" si="39"/>
        <v>https://mariantoc.github.io/structural.html#PindellJL1992</v>
      </c>
    </row>
    <row r="1270" spans="1:7" x14ac:dyDescent="0.3">
      <c r="A1270">
        <f t="shared" si="40"/>
        <v>1269</v>
      </c>
      <c r="B1270" t="s">
        <v>4656</v>
      </c>
      <c r="C1270" t="s">
        <v>4657</v>
      </c>
      <c r="D1270">
        <v>1959</v>
      </c>
      <c r="E1270" t="s">
        <v>4658</v>
      </c>
      <c r="F1270" s="8" t="s">
        <v>4671</v>
      </c>
      <c r="G1270" s="1" t="str">
        <f t="shared" si="39"/>
        <v>https://mariantoc.github.io/stratigraphy.html#RosalesH1959</v>
      </c>
    </row>
    <row r="1271" spans="1:7" x14ac:dyDescent="0.3">
      <c r="A1271">
        <f t="shared" si="40"/>
        <v>1270</v>
      </c>
      <c r="B1271" t="s">
        <v>4659</v>
      </c>
      <c r="C1271" t="s">
        <v>4660</v>
      </c>
      <c r="D1271">
        <v>1958</v>
      </c>
      <c r="E1271" t="s">
        <v>4661</v>
      </c>
      <c r="F1271" s="8" t="s">
        <v>4672</v>
      </c>
      <c r="G1271" s="1" t="str">
        <f t="shared" si="39"/>
        <v>https://mariantoc.github.io/stratigraphy.html#CharltonF1958</v>
      </c>
    </row>
    <row r="1272" spans="1:7" x14ac:dyDescent="0.3">
      <c r="A1272">
        <f t="shared" si="40"/>
        <v>1271</v>
      </c>
      <c r="B1272" t="s">
        <v>4662</v>
      </c>
      <c r="C1272" t="s">
        <v>4663</v>
      </c>
      <c r="D1272">
        <v>1945</v>
      </c>
      <c r="E1272" t="s">
        <v>4664</v>
      </c>
      <c r="F1272" s="8" t="s">
        <v>4673</v>
      </c>
      <c r="G1272" s="1" t="str">
        <f t="shared" si="39"/>
        <v>https://mariantoc.github.io/minerals.html#DaveyJC1945</v>
      </c>
    </row>
    <row r="1273" spans="1:7" x14ac:dyDescent="0.3">
      <c r="A1273">
        <f t="shared" si="40"/>
        <v>1272</v>
      </c>
      <c r="B1273" t="s">
        <v>4665</v>
      </c>
      <c r="C1273" t="s">
        <v>4666</v>
      </c>
      <c r="D1273">
        <v>2026</v>
      </c>
      <c r="E1273" t="s">
        <v>4667</v>
      </c>
      <c r="F1273" s="8" t="s">
        <v>4674</v>
      </c>
      <c r="G1273" s="1" t="str">
        <f t="shared" si="39"/>
        <v>https://mariantoc.github.io/fields.html#SanchezJR2026</v>
      </c>
    </row>
    <row r="1274" spans="1:7" x14ac:dyDescent="0.3">
      <c r="F1274" s="7" t="s">
        <v>4315</v>
      </c>
    </row>
    <row r="1275" spans="1:7" x14ac:dyDescent="0.3">
      <c r="F1275" s="7" t="s">
        <v>4315</v>
      </c>
    </row>
    <row r="1276" spans="1:7" x14ac:dyDescent="0.3">
      <c r="F1276" s="7" t="s">
        <v>4315</v>
      </c>
    </row>
    <row r="1277" spans="1:7" x14ac:dyDescent="0.3">
      <c r="F1277" s="7" t="s">
        <v>4315</v>
      </c>
    </row>
    <row r="1278" spans="1:7" x14ac:dyDescent="0.3">
      <c r="F1278" s="7" t="s">
        <v>4315</v>
      </c>
    </row>
    <row r="1279" spans="1:7" x14ac:dyDescent="0.3">
      <c r="F1279" s="7" t="s">
        <v>4315</v>
      </c>
    </row>
    <row r="1280" spans="1:7" x14ac:dyDescent="0.3">
      <c r="F1280" s="7" t="s">
        <v>4315</v>
      </c>
    </row>
    <row r="1281" spans="6:6" x14ac:dyDescent="0.3">
      <c r="F1281" s="7" t="s">
        <v>4315</v>
      </c>
    </row>
    <row r="1282" spans="6:6" x14ac:dyDescent="0.3">
      <c r="F1282" s="7" t="s">
        <v>4315</v>
      </c>
    </row>
    <row r="1283" spans="6:6" x14ac:dyDescent="0.3">
      <c r="F1283" s="7" t="s">
        <v>4315</v>
      </c>
    </row>
    <row r="1284" spans="6:6" x14ac:dyDescent="0.3">
      <c r="F1284" s="7" t="s">
        <v>4315</v>
      </c>
    </row>
    <row r="1285" spans="6:6" x14ac:dyDescent="0.3">
      <c r="F1285" s="7" t="s">
        <v>4315</v>
      </c>
    </row>
    <row r="1286" spans="6:6" x14ac:dyDescent="0.3">
      <c r="F1286" s="7" t="s">
        <v>4315</v>
      </c>
    </row>
    <row r="1287" spans="6:6" x14ac:dyDescent="0.3">
      <c r="F1287" s="7" t="s">
        <v>4315</v>
      </c>
    </row>
    <row r="1288" spans="6:6" x14ac:dyDescent="0.3">
      <c r="F1288" s="7" t="s">
        <v>4315</v>
      </c>
    </row>
    <row r="1289" spans="6:6" x14ac:dyDescent="0.3">
      <c r="F1289" s="7" t="s">
        <v>4315</v>
      </c>
    </row>
    <row r="1290" spans="6:6" x14ac:dyDescent="0.3">
      <c r="F1290" s="7" t="s">
        <v>4315</v>
      </c>
    </row>
    <row r="1291" spans="6:6" x14ac:dyDescent="0.3">
      <c r="F1291" s="7" t="s">
        <v>4315</v>
      </c>
    </row>
    <row r="1292" spans="6:6" x14ac:dyDescent="0.3">
      <c r="F1292" s="7" t="s">
        <v>4315</v>
      </c>
    </row>
    <row r="1293" spans="6:6" x14ac:dyDescent="0.3">
      <c r="F1293" s="7" t="s">
        <v>4315</v>
      </c>
    </row>
    <row r="1294" spans="6:6" x14ac:dyDescent="0.3">
      <c r="F1294" s="7" t="s">
        <v>4315</v>
      </c>
    </row>
    <row r="1295" spans="6:6" x14ac:dyDescent="0.3">
      <c r="F1295" s="7" t="s">
        <v>4315</v>
      </c>
    </row>
  </sheetData>
  <autoFilter ref="A1:G1267"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2026-05-23T12:07:40Z</dcterms:modified>
</cp:coreProperties>
</file>