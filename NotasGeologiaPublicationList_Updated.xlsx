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9E201CD4-99C4-410A-9C6C-B6620D4F69BC}"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407" i="1" l="1"/>
  <c r="G1406" i="1"/>
  <c r="G1405" i="1"/>
  <c r="G1404" i="1"/>
  <c r="G1403" i="1"/>
  <c r="G1402" i="1"/>
  <c r="G1401" i="1"/>
  <c r="A1401" i="1"/>
  <c r="A1402" i="1" s="1"/>
  <c r="A1403" i="1" s="1"/>
  <c r="A1404" i="1" s="1"/>
  <c r="A1405" i="1" s="1"/>
  <c r="A1406" i="1" s="1"/>
  <c r="A1407" i="1" s="1"/>
  <c r="G1400" i="1"/>
  <c r="G1399" i="1"/>
  <c r="G1398" i="1"/>
  <c r="G1397" i="1"/>
  <c r="G1396" i="1"/>
  <c r="G1395" i="1"/>
  <c r="G1394" i="1"/>
  <c r="A1394" i="1"/>
  <c r="A1395" i="1" s="1"/>
  <c r="A1396" i="1" s="1"/>
  <c r="A1397" i="1" s="1"/>
  <c r="A1398" i="1" s="1"/>
  <c r="A1399" i="1" s="1"/>
  <c r="A1400" i="1" s="1"/>
  <c r="G1393" i="1"/>
  <c r="G1392" i="1"/>
  <c r="G1391" i="1"/>
  <c r="G1390" i="1"/>
  <c r="G1389" i="1"/>
  <c r="G1388" i="1"/>
  <c r="G1387" i="1"/>
  <c r="A1388" i="1"/>
  <c r="A1389" i="1" s="1"/>
  <c r="A1390" i="1" s="1"/>
  <c r="A1391" i="1" s="1"/>
  <c r="A1392" i="1" s="1"/>
  <c r="A1393" i="1" s="1"/>
  <c r="A1387" i="1"/>
  <c r="G1386" i="1"/>
  <c r="G1385" i="1"/>
  <c r="G1384" i="1"/>
  <c r="G1383" i="1"/>
  <c r="G1382" i="1"/>
  <c r="G1381" i="1"/>
  <c r="G1380" i="1"/>
  <c r="A1381" i="1"/>
  <c r="A1382" i="1" s="1"/>
  <c r="A1383" i="1" s="1"/>
  <c r="A1384" i="1" s="1"/>
  <c r="A1385" i="1" s="1"/>
  <c r="A1386" i="1" s="1"/>
  <c r="A1380" i="1"/>
  <c r="G1379" i="1"/>
  <c r="G1378" i="1"/>
  <c r="G1377" i="1"/>
  <c r="G1376" i="1"/>
  <c r="G1375" i="1"/>
  <c r="G1374" i="1"/>
  <c r="G1373" i="1"/>
  <c r="A1373" i="1"/>
  <c r="A1374" i="1" s="1"/>
  <c r="A1375" i="1" s="1"/>
  <c r="A1376" i="1" s="1"/>
  <c r="A1377" i="1" s="1"/>
  <c r="A1378" i="1" s="1"/>
  <c r="A1379" i="1" s="1"/>
  <c r="G1372" i="1"/>
  <c r="G1371" i="1"/>
  <c r="G1370" i="1"/>
  <c r="G1369" i="1"/>
  <c r="G1368" i="1"/>
  <c r="G1367" i="1"/>
  <c r="G1366" i="1"/>
  <c r="A1366" i="1"/>
  <c r="A1367" i="1" s="1"/>
  <c r="A1368" i="1" s="1"/>
  <c r="A1369" i="1" s="1"/>
  <c r="A1370" i="1" s="1"/>
  <c r="A1371" i="1" s="1"/>
  <c r="A1372" i="1" s="1"/>
  <c r="G1365" i="1"/>
  <c r="G1364" i="1"/>
  <c r="G1363" i="1"/>
  <c r="G1362" i="1"/>
  <c r="G1361" i="1"/>
  <c r="G1360" i="1"/>
  <c r="G1359" i="1"/>
  <c r="A1359" i="1"/>
  <c r="A1360" i="1" s="1"/>
  <c r="A1361" i="1" s="1"/>
  <c r="A1362" i="1" s="1"/>
  <c r="A1363" i="1" s="1"/>
  <c r="A1364" i="1" s="1"/>
  <c r="A1365" i="1" s="1"/>
  <c r="G1358" i="1"/>
  <c r="G1357" i="1"/>
  <c r="G1356" i="1"/>
  <c r="G1355" i="1"/>
  <c r="G1354" i="1"/>
  <c r="G1353" i="1"/>
  <c r="G1352" i="1"/>
  <c r="A1352" i="1"/>
  <c r="A1353" i="1" s="1"/>
  <c r="A1354" i="1" s="1"/>
  <c r="A1355" i="1" s="1"/>
  <c r="A1356" i="1" s="1"/>
  <c r="A1357" i="1" s="1"/>
  <c r="A1358" i="1" s="1"/>
  <c r="G1351" i="1"/>
  <c r="G1350" i="1"/>
  <c r="G1349" i="1"/>
  <c r="G1348" i="1"/>
  <c r="G1347" i="1"/>
  <c r="G1346" i="1"/>
  <c r="G1345" i="1"/>
  <c r="A1351" i="1"/>
  <c r="A1350" i="1"/>
  <c r="A1349" i="1"/>
  <c r="A1345" i="1"/>
  <c r="A1346" i="1" s="1"/>
  <c r="A1347" i="1" s="1"/>
  <c r="A1348" i="1" s="1"/>
  <c r="G1344" i="1"/>
  <c r="G1343" i="1"/>
  <c r="G1342" i="1"/>
  <c r="G1341" i="1"/>
  <c r="G1340" i="1"/>
  <c r="G1339" i="1"/>
  <c r="G1338" i="1"/>
  <c r="A1338" i="1"/>
  <c r="A1339" i="1" s="1"/>
  <c r="A1340" i="1" s="1"/>
  <c r="A1341" i="1" s="1"/>
  <c r="A1342" i="1" s="1"/>
  <c r="A1343" i="1" s="1"/>
  <c r="A1344" i="1" s="1"/>
  <c r="A1336" i="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<sst xmlns="http://schemas.openxmlformats.org/spreadsheetml/2006/main" count="5607" uniqueCount="5151">
  <si>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</si>
  <si>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</si>
  <si>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</si>
  <si>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</si>
  <si>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</si>
  <si>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</si>
  <si>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</si>
  <si>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</si>
  <si>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</si>
  <si>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</si>
  <si>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</si>
  <si>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</si>
  <si>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</si>
  <si>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</si>
  <si>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</si>
  <si>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</si>
  <si>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</si>
  <si>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</si>
  <si>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</si>
  <si>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</si>
  <si>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</si>
  <si>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</si>
  <si>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</si>
  <si>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</si>
  <si>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</si>
  <si>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</si>
  <si>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</si>
  <si>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</si>
  <si>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</si>
  <si>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</si>
  <si>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</si>
  <si>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</si>
  <si>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</si>
  <si>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</si>
  <si>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</si>
  <si>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</si>
  <si>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</si>
  <si>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</si>
  <si>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</si>
  <si>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</si>
  <si>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</si>
  <si>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</si>
  <si>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</si>
  <si>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</si>
  <si>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</si>
  <si>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</si>
  <si>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</si>
  <si>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</si>
  <si>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</si>
  <si>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</si>
  <si>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</si>
  <si>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</si>
  <si>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</si>
  <si>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</si>
  <si>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</si>
  <si>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</si>
  <si>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</si>
  <si>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</si>
  <si>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</si>
  <si>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</si>
  <si>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</si>
  <si>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</si>
  <si>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</si>
  <si>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</si>
  <si>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</si>
  <si>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</si>
  <si>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</si>
  <si>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</si>
  <si>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</si>
  <si>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</si>
  <si>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</si>
  <si>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</si>
  <si>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</si>
  <si>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</si>
  <si>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</si>
  <si>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</si>
  <si>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</si>
  <si>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</si>
  <si>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</si>
  <si>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</si>
  <si>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</si>
  <si>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</si>
  <si>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</si>
  <si>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</si>
  <si>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</si>
  <si>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</si>
  <si>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</si>
  <si>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</si>
  <si>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</si>
  <si>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</si>
  <si>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</si>
  <si>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</si>
  <si>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</si>
  <si>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</si>
  <si>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</si>
  <si>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</si>
  <si>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</si>
  <si>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</si>
  <si>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</si>
  <si>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</si>
  <si>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</si>
  <si>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</si>
  <si>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</si>
  <si>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</si>
  <si>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</si>
  <si>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</si>
  <si>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</si>
  <si>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</si>
  <si>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</si>
  <si>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</si>
  <si>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</si>
  <si>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</si>
  <si>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</si>
  <si>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</si>
  <si>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</si>
  <si>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</si>
  <si>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</si>
  <si>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</si>
  <si>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</si>
  <si>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</si>
  <si>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</si>
  <si>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</si>
  <si>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</si>
  <si>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</si>
  <si>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</si>
  <si>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</si>
  <si>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</si>
  <si>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</si>
  <si>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</si>
  <si>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</si>
  <si>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</si>
  <si>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</si>
  <si>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</si>
  <si>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</si>
  <si>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</si>
  <si>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</si>
  <si>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</si>
  <si>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</si>
  <si>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</si>
  <si>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</si>
  <si>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</si>
  <si>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</si>
  <si>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</si>
  <si>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</si>
  <si>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</si>
  <si>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</si>
  <si>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</si>
  <si>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</si>
  <si>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</si>
  <si>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</si>
  <si>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</si>
  <si>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</si>
  <si>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</si>
  <si>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</si>
  <si>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</si>
  <si>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</si>
  <si>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</si>
  <si>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</si>
  <si>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</si>
  <si>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</si>
  <si>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</si>
  <si>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</si>
  <si>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</si>
  <si>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</si>
  <si>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</si>
  <si>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</si>
  <si>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</si>
  <si>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</si>
  <si>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</si>
  <si>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</si>
  <si>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</si>
  <si>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</si>
  <si>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</si>
  <si>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</si>
  <si>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</si>
  <si>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</si>
  <si>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</si>
  <si>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</si>
  <si>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</si>
  <si>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</si>
  <si>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</si>
  <si>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</si>
  <si>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</si>
  <si>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</si>
  <si>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</si>
  <si>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</si>
  <si>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</si>
  <si>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</si>
  <si>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</si>
  <si>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</si>
  <si>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</si>
  <si>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</si>
  <si>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</si>
  <si>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</si>
  <si>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</si>
  <si>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</si>
  <si>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</si>
  <si>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</si>
  <si>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</si>
  <si>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</si>
  <si>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</si>
  <si>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</si>
  <si>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</si>
  <si>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</si>
  <si>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</si>
  <si>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</si>
  <si>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</si>
  <si>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</si>
  <si>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</si>
  <si>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</si>
  <si>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</si>
  <si>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</si>
  <si>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</si>
  <si>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</si>
  <si>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</si>
  <si>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</si>
  <si>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</si>
  <si>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</si>
  <si>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</si>
  <si>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</si>
  <si>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</si>
  <si>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</si>
  <si>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</si>
  <si>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</si>
  <si>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</si>
  <si>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</si>
  <si>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</si>
  <si>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</si>
  <si>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</si>
  <si>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</si>
  <si>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</si>
  <si>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</si>
  <si>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</si>
  <si>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</si>
  <si>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</si>
  <si>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</si>
  <si>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</si>
  <si>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</si>
  <si>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</si>
  <si>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</si>
  <si>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</si>
  <si>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</si>
  <si>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</si>
  <si>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</si>
  <si>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</si>
  <si>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</si>
  <si>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</si>
  <si>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</si>
  <si>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</si>
  <si>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</si>
  <si>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</si>
  <si>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</si>
  <si>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</si>
  <si>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</si>
  <si>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</si>
  <si>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</si>
  <si>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</si>
  <si>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</si>
  <si>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</si>
  <si>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</si>
  <si>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</si>
  <si>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</si>
  <si>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</si>
  <si>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</si>
  <si>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</si>
  <si>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</si>
  <si>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</si>
  <si>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</si>
  <si>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</si>
  <si>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</si>
  <si>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</si>
  <si>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</si>
  <si>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</si>
  <si>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</si>
  <si>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</si>
  <si>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</si>
  <si>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</si>
  <si>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</si>
  <si>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</si>
  <si>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</si>
  <si>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</si>
  <si>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</si>
  <si>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</si>
  <si>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</si>
  <si>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</si>
  <si>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</si>
  <si>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</si>
  <si>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</si>
  <si>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</si>
  <si>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</si>
  <si>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</si>
  <si>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</si>
  <si>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</si>
  <si>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</si>
  <si>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</si>
  <si>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</si>
  <si>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</si>
  <si>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</si>
  <si>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</si>
  <si>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</si>
  <si>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</si>
  <si>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</si>
  <si>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</si>
  <si>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</si>
  <si>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</si>
  <si>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</si>
  <si>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</si>
  <si>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</si>
  <si>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</si>
  <si>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</si>
  <si>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</si>
  <si>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</si>
  <si>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</si>
  <si>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</si>
  <si>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</si>
  <si>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</si>
  <si>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</si>
  <si>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</si>
  <si>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</si>
  <si>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</si>
  <si>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</si>
  <si>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</si>
  <si>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</si>
  <si>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</si>
  <si>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</si>
  <si>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</si>
  <si>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</si>
  <si>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</si>
  <si>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</si>
  <si>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</si>
  <si>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</si>
  <si>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</si>
  <si>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</si>
  <si>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</si>
  <si>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</si>
  <si>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</si>
  <si>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</si>
  <si>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</si>
  <si>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</si>
  <si>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</si>
  <si>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</si>
  <si>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</si>
  <si>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</si>
  <si>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</si>
  <si>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</si>
  <si>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</si>
  <si>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</si>
  <si>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</si>
  <si>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</si>
  <si>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</si>
  <si>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</si>
  <si>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</si>
  <si>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</si>
  <si>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</si>
  <si>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</si>
  <si>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</si>
  <si>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</si>
  <si>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</si>
  <si>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</si>
  <si>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</si>
  <si>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</si>
  <si>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</si>
  <si>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</si>
  <si>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</si>
  <si>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</si>
  <si>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</si>
  <si>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</si>
  <si>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</si>
  <si>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</si>
  <si>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</si>
  <si>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</si>
  <si>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</si>
  <si>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</si>
  <si>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</si>
  <si>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</si>
  <si>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</si>
  <si>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</si>
  <si>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</si>
  <si>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</si>
  <si>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</si>
  <si>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</si>
  <si>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</si>
  <si>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</si>
  <si>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</si>
  <si>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</si>
  <si>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</si>
  <si>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</si>
  <si>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</si>
  <si>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</si>
  <si>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</si>
  <si>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</si>
  <si>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</si>
  <si>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</si>
  <si>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</si>
  <si>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</si>
  <si>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</si>
  <si>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</si>
  <si>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</si>
  <si>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</si>
  <si>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</si>
  <si>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</si>
  <si>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</si>
  <si>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</si>
  <si>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</si>
  <si>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</si>
  <si>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</si>
  <si>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</si>
  <si>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</si>
  <si>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</si>
  <si>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</si>
  <si>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</si>
  <si>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</si>
  <si>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</si>
  <si>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</si>
  <si>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</si>
  <si>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</si>
  <si>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</si>
  <si>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</si>
  <si>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</si>
  <si>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</si>
  <si>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</si>
  <si>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</si>
  <si>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</si>
  <si>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</si>
  <si>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</si>
  <si>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</si>
  <si>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</si>
  <si>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</si>
  <si>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</si>
  <si>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</si>
  <si>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</si>
  <si>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</si>
  <si>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</si>
  <si>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</si>
  <si>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</si>
  <si>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</si>
  <si>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</si>
  <si>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</si>
  <si>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</si>
  <si>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</si>
  <si>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</si>
  <si>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</si>
  <si>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</si>
  <si>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</si>
  <si>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</si>
  <si>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</si>
  <si>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</si>
  <si>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</si>
  <si>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</si>
  <si>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</si>
  <si>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</si>
  <si>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</si>
  <si>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</si>
  <si>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</si>
  <si>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</si>
  <si>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</si>
  <si>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</si>
  <si>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</si>
  <si>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</si>
  <si>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</si>
  <si>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</si>
  <si>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</si>
  <si>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</si>
  <si>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</si>
  <si>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</si>
  <si>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</si>
  <si>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</si>
  <si>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</si>
  <si>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</si>
  <si>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</si>
  <si>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</si>
  <si>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</si>
  <si>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</si>
  <si>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</si>
  <si>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</si>
  <si>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</si>
  <si>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</si>
  <si>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</si>
  <si>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</si>
  <si>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</si>
  <si>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</si>
  <si>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</si>
  <si>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</si>
  <si>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</si>
  <si>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</si>
  <si>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</si>
  <si>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</si>
  <si>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</si>
  <si>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</si>
  <si>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</si>
  <si>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</si>
  <si>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</si>
  <si>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</si>
  <si>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</si>
  <si>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</si>
  <si>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</si>
  <si>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</si>
  <si>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</si>
  <si>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</si>
  <si>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</si>
  <si>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</si>
  <si>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</si>
  <si>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</si>
  <si>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</si>
  <si>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</si>
  <si>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</si>
  <si>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</si>
  <si>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</si>
  <si>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</si>
  <si>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</si>
  <si>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</si>
  <si>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</si>
  <si>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</si>
  <si>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</si>
  <si>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</si>
  <si>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</si>
  <si>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</si>
  <si>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</si>
  <si>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</si>
  <si>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</si>
  <si>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</si>
  <si>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</si>
  <si>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</si>
  <si>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</si>
  <si>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</si>
  <si>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</si>
  <si>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</si>
  <si>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</si>
  <si>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</si>
  <si>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</si>
  <si>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</si>
  <si>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</si>
  <si>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</si>
  <si>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</si>
  <si>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</si>
  <si>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</si>
  <si>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</si>
  <si>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</si>
  <si>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</si>
  <si>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</si>
  <si>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</si>
  <si>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</si>
  <si>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</si>
  <si>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</si>
  <si>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</si>
  <si>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</si>
  <si>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</si>
  <si>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</si>
  <si>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</si>
  <si>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</si>
  <si>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</si>
  <si>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</si>
  <si>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</si>
  <si>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</si>
  <si>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</si>
  <si>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</si>
  <si>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</si>
  <si>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</si>
  <si>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</si>
  <si>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</si>
  <si>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</si>
  <si>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</si>
  <si>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</si>
  <si>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</si>
  <si>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</si>
  <si>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</si>
  <si>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</si>
  <si>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</si>
  <si>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</si>
  <si>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</si>
  <si>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</si>
  <si>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</si>
  <si>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</si>
  <si>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</si>
  <si>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</si>
  <si>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</si>
  <si>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</si>
  <si>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</si>
  <si>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</si>
  <si>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</si>
  <si>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</si>
  <si>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</si>
  <si>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</si>
  <si>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</si>
  <si>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</si>
  <si>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</si>
  <si>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</si>
  <si>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</si>
  <si>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</si>
  <si>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</si>
  <si>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</si>
  <si>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</si>
  <si>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</si>
  <si>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</si>
  <si>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</si>
  <si>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</si>
  <si>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</si>
  <si>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</si>
  <si>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</si>
  <si>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</si>
  <si>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</si>
  <si>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</si>
  <si>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</si>
  <si>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</si>
  <si>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</si>
  <si>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</si>
  <si>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</si>
  <si>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</si>
  <si>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</si>
  <si>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</si>
  <si>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</si>
  <si>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</si>
  <si>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</si>
  <si>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</si>
  <si>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</si>
  <si>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</si>
  <si>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</si>
  <si>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</si>
  <si>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</si>
  <si>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</si>
  <si>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</si>
  <si>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</si>
  <si>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</si>
  <si>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</si>
  <si>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</si>
  <si>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</si>
  <si>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</si>
  <si>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</si>
  <si>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</si>
  <si>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</si>
  <si>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</si>
  <si>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</si>
  <si>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</si>
  <si>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</si>
  <si>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</si>
  <si>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</si>
  <si>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</si>
  <si>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</si>
  <si>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</si>
  <si>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</si>
  <si>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</si>
  <si>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</si>
  <si>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</si>
  <si>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</si>
  <si>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</si>
  <si>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</si>
  <si>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</si>
  <si>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</si>
  <si>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</si>
  <si>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</si>
  <si>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</si>
  <si>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</si>
  <si>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</si>
  <si>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</si>
  <si>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</si>
  <si>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</si>
  <si>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</si>
  <si>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</si>
  <si>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</si>
  <si>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</si>
  <si>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</si>
  <si>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</si>
  <si>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</si>
  <si>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</si>
  <si>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</si>
  <si>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</si>
  <si>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</si>
  <si>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</si>
  <si>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</si>
  <si>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</si>
  <si>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</si>
  <si>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</si>
  <si>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</si>
  <si>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</si>
  <si>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</si>
  <si>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</si>
  <si>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</si>
  <si>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</si>
  <si>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</si>
  <si>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</si>
  <si>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</si>
  <si>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</si>
  <si>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</si>
  <si>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</si>
  <si>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</si>
  <si>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</si>
  <si>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</si>
  <si>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</si>
  <si>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</si>
  <si>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</si>
  <si>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</si>
  <si>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</si>
  <si>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</si>
  <si>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</si>
  <si>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</si>
  <si>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</si>
  <si>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</si>
  <si>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</si>
  <si>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</si>
  <si>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</si>
  <si>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</si>
  <si>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</si>
  <si>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</si>
  <si>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</si>
  <si>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</si>
  <si>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</si>
  <si>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</si>
  <si>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</si>
  <si>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</si>
  <si>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</si>
  <si>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</si>
  <si>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</si>
  <si>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</si>
  <si>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</si>
  <si>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</si>
  <si>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</si>
  <si>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</si>
  <si>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</si>
  <si>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</si>
  <si>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</si>
  <si>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</si>
  <si>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</si>
  <si>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</si>
  <si>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</si>
  <si>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</si>
  <si>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</si>
  <si>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</si>
  <si>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</si>
  <si>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</si>
  <si>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</si>
  <si>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</si>
  <si>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</si>
  <si>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</si>
  <si>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</si>
  <si>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</si>
  <si>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</si>
  <si>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</si>
  <si>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</si>
  <si>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</si>
  <si>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</si>
  <si>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</si>
  <si>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</si>
  <si>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</si>
  <si>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</si>
  <si>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</si>
  <si>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</si>
  <si>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</si>
  <si>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</si>
  <si>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</si>
  <si>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</si>
  <si>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</si>
  <si>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</si>
  <si>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</si>
  <si>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</si>
  <si>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</si>
  <si>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</si>
  <si>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</si>
  <si>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</si>
  <si>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</si>
  <si>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</si>
  <si>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</si>
  <si>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</si>
  <si>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</si>
  <si>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</si>
  <si>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</si>
  <si>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</si>
  <si>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</si>
  <si>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</si>
  <si>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</si>
  <si>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</si>
  <si>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</si>
  <si>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</si>
  <si>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</si>
  <si>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</si>
  <si>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</si>
  <si>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</si>
  <si>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</si>
  <si>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</si>
  <si>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</si>
  <si>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</si>
  <si>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</si>
  <si>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</si>
  <si>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</si>
  <si>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</si>
  <si>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</si>
  <si>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</si>
  <si>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</si>
  <si>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</si>
  <si>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</si>
  <si>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</si>
  <si>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</si>
  <si>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</si>
  <si>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</si>
  <si>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</si>
  <si>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</si>
  <si>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</si>
  <si>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</si>
  <si>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</si>
  <si>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</si>
  <si>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</si>
  <si>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</si>
  <si>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</si>
  <si>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</si>
  <si>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</si>
  <si>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</si>
  <si>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</si>
  <si>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</si>
  <si>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</si>
  <si>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</si>
  <si>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</si>
  <si>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</si>
  <si>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</si>
  <si>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</si>
  <si>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</si>
  <si>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</si>
  <si>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</si>
  <si>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</si>
  <si>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</si>
  <si>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</si>
  <si>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</si>
  <si>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</si>
  <si>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</si>
  <si>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</si>
  <si>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</si>
  <si>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</si>
  <si>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</si>
  <si>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</si>
  <si>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</si>
  <si>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</si>
  <si>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</si>
  <si>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</si>
  <si>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</si>
  <si>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</si>
  <si>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</si>
  <si>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</si>
  <si>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</si>
  <si>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</si>
  <si>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</si>
  <si>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</si>
  <si>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</si>
  <si>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</si>
  <si>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</si>
  <si>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</si>
  <si>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</si>
  <si>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</si>
  <si>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</si>
  <si>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</si>
  <si>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</si>
  <si>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</si>
  <si>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</si>
  <si>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</si>
  <si>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</si>
  <si>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</si>
  <si>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</si>
  <si>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</si>
  <si>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</si>
  <si>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</si>
  <si>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</si>
  <si>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</si>
  <si>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</si>
  <si>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</si>
  <si>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</si>
  <si>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</si>
  <si>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</si>
  <si>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</si>
  <si>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</si>
  <si>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</si>
  <si>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</si>
  <si>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</si>
  <si>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</si>
  <si>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</si>
  <si>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</si>
  <si>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</si>
  <si>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</si>
  <si>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</si>
  <si>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</si>
  <si>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</si>
  <si>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</si>
  <si>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</si>
  <si>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</si>
  <si>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</si>
  <si>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</si>
  <si>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</si>
  <si>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</si>
  <si>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</si>
  <si>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</si>
  <si>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</si>
  <si>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</si>
  <si>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</si>
  <si>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</si>
  <si>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</si>
  <si>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</si>
  <si>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</si>
  <si>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</si>
  <si>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</si>
  <si>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</si>
  <si>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</si>
  <si>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</si>
  <si>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</si>
  <si>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</si>
  <si>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</si>
  <si>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</si>
  <si>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</si>
  <si>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</si>
  <si>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</si>
  <si>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</si>
  <si>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</si>
  <si>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</si>
  <si>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</si>
  <si>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</si>
  <si>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</si>
  <si>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</si>
  <si>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</si>
  <si>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</si>
  <si>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</si>
  <si>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</si>
  <si>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</si>
  <si>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</si>
  <si>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</si>
  <si>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</si>
  <si>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</si>
  <si>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</si>
  <si>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</si>
  <si>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</si>
  <si>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</si>
  <si>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</si>
  <si>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</si>
  <si>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</si>
  <si>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</si>
  <si>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</si>
  <si>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</si>
  <si>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</si>
  <si>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</si>
  <si>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</si>
  <si>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</si>
  <si>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</si>
  <si>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</si>
  <si>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</si>
  <si>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</si>
  <si>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</si>
  <si>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</si>
  <si>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</si>
  <si>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</si>
  <si>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</si>
  <si>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</si>
  <si>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</si>
  <si>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</si>
  <si>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</si>
  <si>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</si>
  <si>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</si>
  <si>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</si>
  <si>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</si>
  <si>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</si>
  <si>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</si>
  <si>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</si>
  <si>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</si>
  <si>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</si>
  <si>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</si>
  <si>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</si>
  <si>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</si>
  <si>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</si>
  <si>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</si>
  <si>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</si>
  <si>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</si>
  <si>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</si>
  <si>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</si>
  <si>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</si>
  <si>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</si>
  <si>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</si>
  <si>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</si>
  <si>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</si>
  <si>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</si>
  <si>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</si>
  <si>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</si>
  <si>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</si>
  <si>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</si>
  <si>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</si>
  <si>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</si>
  <si>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</si>
  <si>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</si>
  <si>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</si>
  <si>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</si>
  <si>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</si>
  <si>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</si>
  <si>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</si>
  <si>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</si>
  <si>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</si>
  <si>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</si>
  <si>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</si>
  <si>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</si>
  <si>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</si>
  <si>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</si>
  <si>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</si>
  <si>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</si>
  <si>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</si>
  <si>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</si>
  <si>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</si>
  <si>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</si>
  <si>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</si>
  <si>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</si>
  <si>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</si>
  <si>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</si>
  <si>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</si>
  <si>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</si>
  <si>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</si>
  <si>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</si>
  <si>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</si>
  <si>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</si>
  <si>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</si>
  <si>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</si>
  <si>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</si>
  <si>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</si>
  <si>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</si>
  <si>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</si>
  <si>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</si>
  <si>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</si>
  <si>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</si>
  <si>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</si>
  <si>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</si>
  <si>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</si>
  <si>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</si>
  <si>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</si>
  <si>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</si>
  <si>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</si>
  <si>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</si>
  <si>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</si>
  <si>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</si>
  <si>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</si>
  <si>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</si>
  <si>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</si>
  <si>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</si>
  <si>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</si>
  <si>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</si>
  <si>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</si>
  <si>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</si>
  <si>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</si>
  <si>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</si>
  <si>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</si>
  <si>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</si>
  <si>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</si>
  <si>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</si>
  <si>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</si>
  <si>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</si>
  <si>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</si>
  <si>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</si>
  <si>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</si>
  <si>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</si>
  <si>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</si>
  <si>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</si>
  <si>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</si>
  <si>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</si>
  <si>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</si>
  <si>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</si>
  <si>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</si>
  <si>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</si>
  <si>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</si>
  <si>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</si>
  <si>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</si>
  <si>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</si>
  <si>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</si>
  <si>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</si>
  <si>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</si>
  <si>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</si>
  <si>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</si>
  <si>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</si>
  <si>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</si>
  <si>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</si>
  <si>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</si>
  <si>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</si>
  <si>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</si>
  <si>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</si>
  <si>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</si>
  <si>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</si>
  <si>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</si>
  <si>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</si>
  <si>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</si>
  <si>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</si>
  <si>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</si>
  <si>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</si>
  <si>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</si>
  <si>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</si>
  <si>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</si>
  <si>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</si>
  <si>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</si>
  <si>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</si>
  <si>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</si>
  <si>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</si>
  <si>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</si>
  <si>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</si>
  <si>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</si>
  <si>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</si>
  <si>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</si>
  <si>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</si>
  <si>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</si>
  <si>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</si>
  <si>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</si>
  <si>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</si>
  <si>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</si>
  <si>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</si>
  <si>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</si>
  <si>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</si>
  <si>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</si>
  <si>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</si>
  <si>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</si>
  <si>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</si>
  <si>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</si>
  <si>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</si>
  <si>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</si>
  <si>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</si>
  <si>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</si>
  <si>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</si>
  <si>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</si>
  <si>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</si>
  <si>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</si>
  <si>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</si>
  <si>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</si>
  <si>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</si>
  <si>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</si>
  <si>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</si>
  <si>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</si>
  <si>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</si>
  <si>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</si>
  <si>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</si>
  <si>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</si>
  <si>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</si>
  <si>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</si>
  <si>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</si>
  <si>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</si>
  <si>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</si>
  <si>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</si>
  <si>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</si>
  <si>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</si>
  <si>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</si>
  <si>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</si>
  <si>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</si>
  <si>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</si>
  <si>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</si>
  <si>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</si>
  <si>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</si>
  <si>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</si>
  <si>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</si>
  <si>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</si>
  <si>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</si>
  <si>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</si>
  <si>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</si>
  <si>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</si>
  <si>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</si>
  <si>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</si>
  <si>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</si>
  <si>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</si>
  <si>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</si>
  <si>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</si>
  <si>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</si>
  <si>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</si>
  <si>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</si>
  <si>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</si>
  <si>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</si>
  <si>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</si>
  <si>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</si>
  <si>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</si>
  <si>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</si>
  <si>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</si>
  <si>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</si>
  <si>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</si>
  <si>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</si>
  <si>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</si>
  <si>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</si>
  <si>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</si>
  <si>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</si>
  <si>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</si>
  <si>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</si>
  <si>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</si>
  <si>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</si>
  <si>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</si>
  <si>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</si>
  <si>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</si>
  <si>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</si>
  <si>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</si>
  <si>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</si>
  <si>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</si>
  <si>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</si>
  <si>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</si>
  <si>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</si>
  <si>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</si>
  <si>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</si>
  <si>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</si>
  <si>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</si>
  <si>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</si>
  <si>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</si>
  <si>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</si>
  <si>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</si>
  <si>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</si>
  <si>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</si>
  <si>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</si>
  <si>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</si>
  <si>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</si>
  <si>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</si>
  <si>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</si>
  <si>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</si>
  <si>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</si>
  <si>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</si>
  <si>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</si>
  <si>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</si>
  <si>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</si>
  <si>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</si>
  <si>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</si>
  <si>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</si>
  <si>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</si>
  <si>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</si>
  <si>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</si>
  <si>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</si>
  <si>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</si>
  <si>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</si>
  <si>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</si>
  <si>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</si>
  <si>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</si>
  <si>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</si>
  <si>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</si>
  <si>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</si>
  <si>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</si>
  <si>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</si>
  <si>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</si>
  <si>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</si>
  <si>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</si>
  <si>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</si>
  <si>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</si>
  <si>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</si>
  <si>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</si>
  <si>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</si>
  <si>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</si>
  <si>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</si>
  <si>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</si>
  <si>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</si>
  <si>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</si>
  <si>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</si>
  <si>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</si>
  <si>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</si>
  <si>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</si>
  <si>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</si>
  <si>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</si>
  <si>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</si>
  <si>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</si>
  <si>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</si>
  <si>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</si>
  <si>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</si>
  <si>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</si>
  <si>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</si>
  <si>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</si>
  <si>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</si>
  <si>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</si>
  <si>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</si>
  <si>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</si>
  <si>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</si>
  <si>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</si>
  <si>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</si>
  <si>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</si>
  <si>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</si>
  <si>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</si>
  <si>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</si>
  <si>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</si>
  <si>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</si>
  <si>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</si>
  <si>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</si>
  <si>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</si>
  <si>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</si>
  <si>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</si>
  <si>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</si>
  <si>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</si>
  <si>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</si>
  <si>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</si>
  <si>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</si>
  <si>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</si>
  <si>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</si>
  <si>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</si>
  <si>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</si>
  <si>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</si>
  <si>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</si>
  <si>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</si>
  <si>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</si>
  <si>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</si>
  <si>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</si>
  <si>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</si>
  <si>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</si>
  <si>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</si>
  <si>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</si>
  <si>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</si>
  <si>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</si>
  <si>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</si>
  <si>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</si>
  <si>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</si>
  <si>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</si>
  <si>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</si>
  <si>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</si>
  <si>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</si>
  <si>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</si>
  <si>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</si>
  <si>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</si>
  <si>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</si>
  <si>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</si>
  <si>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</si>
  <si>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</si>
  <si>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</si>
  <si>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</si>
  <si>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</si>
  <si>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</si>
  <si>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</si>
  <si>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</si>
  <si>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</si>
  <si>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</si>
  <si>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</si>
  <si>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</si>
  <si>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</si>
  <si>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</si>
  <si>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</si>
  <si>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</si>
  <si>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</si>
  <si>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</si>
  <si>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</si>
  <si>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</si>
  <si>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</si>
  <si>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</si>
  <si>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</si>
  <si>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</si>
  <si>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</si>
  <si>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</si>
  <si>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</si>
  <si>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</si>
  <si>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</si>
  <si>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</si>
  <si>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</si>
  <si>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</si>
  <si>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</si>
  <si>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</si>
  <si>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</si>
  <si>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</si>
  <si>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</si>
  <si>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</si>
  <si>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</si>
  <si>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</si>
  <si>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</si>
  <si>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</si>
  <si>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</si>
  <si>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</si>
  <si>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</si>
  <si>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</si>
  <si>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</si>
  <si>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</si>
  <si>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</si>
  <si>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</si>
  <si>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</si>
  <si>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</si>
  <si>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</si>
  <si>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</si>
  <si>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</si>
  <si>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</si>
  <si>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</si>
  <si>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</si>
  <si>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</si>
  <si>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</si>
  <si>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</si>
  <si>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</si>
  <si>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</si>
  <si>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</si>
  <si>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</si>
  <si>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</si>
  <si>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</si>
  <si>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</si>
  <si>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</si>
  <si>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</si>
  <si>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</si>
  <si>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</si>
  <si>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</si>
  <si>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</si>
  <si>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</si>
  <si>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</si>
  <si>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</si>
  <si>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</si>
  <si>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</si>
  <si>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</si>
  <si>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</si>
  <si>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</si>
  <si>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</si>
  <si>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</si>
  <si>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</si>
  <si>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</si>
  <si>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</si>
  <si>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</si>
  <si>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</si>
  <si>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</si>
  <si>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</si>
  <si>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</si>
  <si>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</si>
  <si>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</si>
  <si>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</si>
  <si>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</si>
  <si>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</si>
  <si>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</si>
  <si>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</si>
  <si>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</si>
  <si>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</si>
  <si>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</si>
  <si>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</si>
  <si>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</si>
  <si>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</si>
  <si>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</si>
  <si>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</si>
  <si>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</si>
  <si>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</si>
  <si>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</si>
  <si>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</si>
  <si>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</si>
  <si>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</si>
  <si>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</si>
  <si>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</si>
  <si>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</si>
  <si>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</si>
  <si>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</si>
  <si>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</si>
  <si>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</si>
  <si>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</si>
  <si>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</si>
  <si>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</si>
  <si>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</si>
  <si>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</si>
  <si>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</si>
  <si>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</si>
  <si>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</si>
  <si>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</si>
  <si>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</si>
  <si>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</si>
  <si>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</si>
  <si>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</si>
  <si>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</si>
  <si>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</si>
  <si>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</si>
  <si>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</si>
  <si>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</si>
  <si>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</si>
  <si>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</si>
  <si>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</si>
  <si>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</si>
  <si>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</si>
  <si>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</si>
  <si>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</si>
  <si>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</si>
  <si>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</si>
  <si>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</si>
  <si>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</si>
  <si>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</si>
  <si>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</si>
  <si>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</si>
  <si>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</si>
  <si>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</si>
  <si>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</si>
  <si>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</si>
  <si>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</si>
  <si>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</si>
  <si>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</si>
  <si>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</si>
  <si>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</si>
  <si>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</si>
  <si>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</si>
  <si>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</si>
  <si>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</si>
  <si>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</si>
  <si>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</si>
  <si>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</si>
  <si>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</si>
  <si>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</si>
  <si>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</si>
  <si>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</si>
  <si>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</si>
  <si>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</si>
  <si>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</si>
  <si>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</si>
  <si>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</si>
  <si>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</si>
  <si>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</si>
  <si>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</si>
  <si>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</si>
  <si>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</si>
  <si>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</si>
  <si>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</si>
  <si>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</si>
  <si>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</si>
  <si>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</si>
  <si>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</si>
  <si>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</si>
  <si>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</si>
  <si>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</si>
  <si>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</si>
  <si>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</si>
  <si>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</si>
  <si>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</si>
  <si>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</si>
  <si>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</si>
  <si>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</si>
  <si>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</si>
  <si>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</si>
  <si>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</si>
  <si>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</si>
  <si>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</si>
  <si>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</si>
  <si>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</si>
  <si>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</si>
  <si>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</si>
  <si>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</si>
  <si>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</si>
  <si>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</si>
  <si>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</si>
  <si>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</si>
  <si>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</si>
  <si>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</si>
  <si>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</si>
  <si>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</si>
  <si>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</si>
  <si>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</si>
  <si>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</si>
  <si>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</si>
  <si>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</si>
  <si>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</si>
  <si>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</si>
  <si>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</si>
  <si>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</si>
  <si>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</si>
  <si>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</si>
  <si>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</si>
  <si>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</si>
  <si>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</si>
  <si>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</si>
  <si>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</si>
  <si>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</si>
  <si>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</si>
  <si>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</si>
  <si>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</si>
  <si>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</si>
  <si>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</si>
  <si>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</si>
  <si>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</si>
  <si>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</si>
  <si>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</si>
  <si>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</si>
  <si>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</si>
  <si>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</si>
  <si>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</si>
  <si>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</si>
  <si>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</si>
  <si>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</si>
  <si>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</si>
  <si>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</si>
  <si>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</si>
  <si>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</si>
  <si>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</si>
  <si>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</si>
  <si>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</si>
  <si>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</si>
  <si>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</si>
  <si>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</si>
  <si>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</si>
  <si>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</si>
  <si>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</si>
  <si>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</si>
  <si>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</si>
  <si>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</si>
  <si>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</si>
  <si>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</si>
  <si>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</si>
  <si>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</si>
  <si>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</si>
  <si>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</si>
  <si>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</si>
  <si>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</si>
  <si>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</si>
  <si>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</si>
  <si>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</si>
  <si>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</si>
  <si>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</si>
  <si>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</si>
  <si>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</si>
  <si>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</si>
  <si>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</si>
  <si>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</si>
  <si>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</si>
  <si>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</si>
  <si>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</si>
  <si>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</si>
  <si>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</si>
  <si>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</si>
  <si>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</si>
  <si>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</si>
  <si>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</si>
  <si>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</si>
  <si>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</si>
  <si>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</si>
  <si>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</si>
  <si>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</si>
  <si>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</si>
  <si>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</si>
  <si>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</si>
  <si>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</si>
  <si>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</si>
  <si>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</si>
  <si>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</si>
  <si>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</si>
  <si>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</si>
  <si>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</si>
  <si>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</si>
  <si>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</si>
  <si>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</si>
  <si>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</si>
  <si>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</si>
  <si>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</si>
  <si>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</si>
  <si>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</si>
  <si>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</si>
  <si>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</si>
  <si>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</si>
  <si>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</si>
  <si>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</si>
  <si>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</si>
  <si>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</si>
  <si>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</si>
  <si>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</si>
  <si>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</si>
  <si>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</si>
  <si>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</si>
  <si>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</si>
  <si>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</si>
  <si>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</si>
  <si>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</si>
  <si>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</si>
  <si>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</si>
  <si>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</si>
  <si>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</si>
  <si>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</si>
  <si>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</si>
  <si>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</si>
  <si>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</si>
  <si>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</si>
  <si>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</si>
  <si>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</si>
  <si>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</si>
  <si>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</si>
  <si>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</si>
  <si>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</si>
  <si>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</si>
  <si>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</si>
  <si>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</si>
  <si>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</si>
  <si>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</si>
  <si>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</si>
  <si>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</si>
  <si>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</si>
  <si>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</si>
  <si>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</si>
  <si>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</si>
  <si>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</si>
  <si>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</si>
  <si>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</si>
  <si>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</si>
  <si>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</si>
  <si>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</si>
  <si>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</si>
  <si>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</si>
  <si>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</si>
  <si>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</si>
  <si>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</si>
  <si>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</si>
  <si>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</si>
  <si>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</si>
  <si>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</si>
  <si>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</si>
  <si>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</si>
  <si>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</si>
  <si>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</si>
  <si>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</si>
  <si>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</si>
  <si>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</si>
  <si>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</si>
  <si>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</si>
  <si>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</si>
  <si>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</si>
  <si>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</si>
  <si>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</si>
  <si>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</si>
  <si>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</si>
  <si>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</si>
  <si>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</si>
  <si>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</si>
  <si>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</si>
  <si>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</si>
  <si>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</si>
  <si>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</si>
  <si>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</si>
  <si>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</si>
  <si>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</si>
  <si>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</si>
  <si>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</si>
  <si>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</si>
  <si>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</si>
  <si>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</si>
  <si>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</si>
  <si>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</si>
  <si>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</si>
  <si>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</si>
  <si>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</si>
  <si>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</si>
  <si>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</si>
  <si>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</si>
  <si>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</si>
  <si>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</si>
  <si>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</si>
  <si>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</si>
  <si>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</si>
  <si>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</si>
  <si>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</si>
  <si>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</si>
  <si>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</si>
  <si>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</si>
  <si>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</si>
  <si>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</si>
  <si>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</si>
  <si>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</si>
  <si>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</si>
  <si>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</si>
  <si>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</si>
  <si>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</si>
  <si>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</si>
  <si>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</si>
  <si>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</si>
  <si>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</si>
  <si>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</si>
  <si>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</si>
  <si>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</si>
  <si>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</si>
  <si>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</si>
  <si>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</si>
  <si>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</si>
  <si>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</si>
  <si>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</si>
  <si>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</si>
  <si>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</si>
  <si>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</si>
  <si>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</si>
  <si>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</si>
  <si>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</si>
  <si>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</si>
  <si>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</si>
  <si>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</si>
  <si>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</si>
  <si>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</si>
  <si>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</si>
  <si>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</si>
  <si>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</si>
  <si>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</si>
  <si>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</si>
  <si>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</si>
  <si>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</si>
  <si>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</si>
  <si>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</si>
  <si>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</si>
  <si>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</si>
  <si>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</si>
  <si>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</si>
  <si>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</si>
  <si>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</si>
  <si>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</si>
  <si>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</si>
  <si>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</si>
  <si>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</si>
  <si>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</si>
  <si>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</si>
  <si>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</si>
  <si>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</si>
  <si>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</si>
  <si>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</si>
  <si>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</si>
  <si>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</si>
  <si>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</si>
  <si>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</si>
  <si>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</si>
  <si>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</si>
  <si>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</si>
  <si>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</si>
  <si>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</si>
  <si>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</si>
  <si>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</si>
  <si>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</si>
  <si>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</si>
  <si>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</si>
  <si>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</si>
  <si>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</si>
  <si>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</si>
  <si>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</si>
  <si>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</si>
  <si>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</si>
  <si>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</si>
  <si>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</si>
  <si>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</si>
  <si>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</si>
  <si>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</si>
  <si>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</si>
  <si>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</si>
  <si>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</si>
  <si>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</si>
  <si>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</si>
  <si>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</si>
  <si>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</si>
  <si>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</si>
  <si>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</si>
  <si>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</si>
  <si>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</si>
  <si>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</si>
  <si>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</si>
  <si>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</si>
  <si>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</si>
  <si>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</si>
  <si>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</si>
  <si>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</si>
  <si>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</si>
  <si>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</si>
  <si>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</si>
  <si>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</si>
  <si>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</si>
  <si>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</si>
  <si>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</si>
  <si>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</si>
  <si>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</si>
  <si>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</si>
  <si>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</si>
  <si>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</si>
  <si>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</si>
  <si>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</si>
  <si>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</si>
  <si>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</si>
  <si>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</si>
  <si>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</si>
  <si>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</si>
  <si>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</si>
  <si>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</si>
  <si>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</si>
  <si>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</si>
  <si>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</si>
  <si>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</si>
  <si>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</si>
  <si>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</si>
  <si>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</si>
  <si>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</si>
  <si>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</si>
  <si>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</si>
  <si>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</si>
  <si>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</si>
  <si>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</si>
  <si>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</si>
  <si>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</si>
  <si>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</si>
  <si>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</si>
  <si>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</si>
  <si>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</si>
  <si>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</si>
  <si>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</si>
  <si>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</si>
  <si>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</si>
  <si>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</si>
  <si>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</si>
  <si>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</si>
  <si>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</si>
  <si>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</si>
  <si>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</si>
  <si>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</si>
  <si>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</si>
  <si>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</si>
  <si>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</si>
  <si>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</si>
  <si>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</si>
  <si>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</si>
  <si>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</si>
  <si>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</si>
  <si>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</si>
  <si>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</si>
  <si>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</si>
  <si>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</si>
  <si>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</si>
  <si>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</si>
  <si>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</si>
  <si>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</si>
  <si>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</si>
  <si>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</si>
  <si>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</si>
  <si>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</si>
  <si>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</si>
  <si>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</si>
  <si>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</si>
  <si>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</si>
  <si>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</si>
  <si>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</si>
  <si>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</si>
  <si>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</si>
  <si>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</si>
  <si>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</si>
  <si>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</si>
  <si>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</si>
  <si>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</si>
  <si>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</si>
  <si>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</si>
  <si>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</si>
  <si>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</si>
  <si>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</si>
  <si>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</si>
  <si>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</si>
  <si>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</si>
  <si>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</si>
  <si>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</si>
  <si>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</si>
  <si>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</si>
  <si>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</si>
  <si>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</si>
  <si>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</si>
  <si>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</si>
  <si>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</si>
  <si>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</si>
  <si>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</si>
  <si>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</si>
  <si>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</si>
  <si>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</si>
  <si>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</si>
  <si>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</si>
  <si>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</si>
  <si>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</si>
  <si>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</si>
  <si>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</si>
  <si>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</si>
  <si>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</si>
  <si>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</si>
  <si>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</si>
  <si>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</si>
  <si>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</si>
  <si>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</si>
  <si>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</si>
  <si>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</si>
  <si>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</si>
  <si>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</si>
  <si>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</si>
  <si>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</si>
  <si>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</si>
  <si>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</si>
  <si>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</si>
  <si>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</si>
  <si>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</si>
  <si>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</si>
  <si>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</si>
  <si>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</si>
  <si>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</si>
  <si>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</si>
  <si>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</si>
  <si>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</si>
  <si>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</si>
  <si>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</si>
  <si>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</si>
  <si>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</si>
  <si>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</si>
  <si>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</si>
  <si>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</si>
  <si>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</si>
  <si>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</si>
  <si>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</si>
  <si>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</si>
  <si>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</si>
  <si>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</si>
  <si>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</si>
  <si>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</si>
  <si>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</si>
  <si>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</si>
  <si>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</si>
  <si>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</si>
  <si>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</si>
  <si>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</si>
  <si>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</si>
  <si>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</si>
  <si>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</si>
  <si>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</si>
  <si>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</si>
  <si>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</si>
  <si>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</si>
  <si>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</si>
  <si>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</si>
  <si>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</si>
  <si>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</si>
  <si>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</si>
  <si>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</si>
  <si>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</si>
  <si>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</si>
  <si>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</si>
  <si>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</si>
  <si>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</si>
  <si>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</si>
  <si>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</si>
  <si>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</si>
  <si>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</si>
  <si>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</si>
  <si>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</si>
  <si>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</si>
  <si>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</si>
  <si>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</si>
  <si>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</si>
  <si>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</si>
  <si>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</si>
  <si>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</si>
  <si>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</si>
  <si>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</si>
  <si>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</si>
  <si>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</si>
  <si>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</si>
  <si>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</si>
  <si>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</si>
  <si>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</si>
  <si>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</si>
  <si>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</si>
  <si>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</si>
  <si>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</si>
  <si>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</si>
  <si>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</si>
  <si>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</si>
  <si>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</si>
  <si>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</si>
  <si>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</si>
  <si>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</si>
  <si>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</si>
  <si>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</si>
  <si>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</si>
  <si>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</si>
  <si>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</si>
  <si>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</si>
  <si>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</si>
  <si>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</si>
  <si>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</si>
  <si>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</si>
  <si>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</si>
  <si>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</si>
  <si>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</si>
  <si>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</si>
  <si>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</si>
  <si>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</si>
  <si>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</si>
  <si>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</si>
  <si>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</si>
  <si>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</si>
  <si>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</si>
  <si>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</si>
  <si>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</si>
  <si>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</si>
  <si>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</si>
  <si>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</si>
  <si>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</si>
  <si>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</si>
  <si>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</si>
  <si>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</si>
  <si>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</si>
  <si>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</si>
  <si>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</si>
  <si>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</si>
  <si>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</si>
  <si>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</si>
  <si>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</si>
  <si>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</si>
  <si>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</si>
  <si>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</si>
  <si>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</si>
  <si>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</si>
  <si>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</si>
  <si>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</si>
  <si>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</si>
  <si>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</si>
  <si>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</si>
  <si>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</si>
  <si>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</si>
  <si>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</si>
  <si>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</si>
  <si>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</si>
  <si>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</si>
  <si>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</si>
  <si>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</si>
  <si>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</si>
  <si>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</si>
  <si>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</si>
  <si>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</si>
  <si>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</si>
  <si>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</si>
  <si>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</si>
  <si>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</si>
  <si>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</si>
  <si>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</si>
  <si>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</si>
  <si>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</si>
  <si>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</si>
  <si>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</si>
  <si>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</si>
  <si>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</si>
  <si>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</si>
  <si>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</si>
  <si>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</si>
  <si>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</si>
  <si>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</si>
  <si>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</si>
  <si>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</si>
  <si>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</si>
  <si>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</si>
  <si>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</si>
  <si>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</si>
  <si>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</si>
  <si>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</si>
  <si>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</si>
  <si>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</si>
  <si>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</si>
  <si>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</si>
  <si>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</si>
  <si>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</si>
  <si>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</si>
  <si>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</si>
  <si>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</si>
  <si>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</si>
  <si>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</si>
  <si>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</si>
  <si>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</si>
  <si>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</si>
  <si>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</si>
  <si>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</si>
  <si>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</si>
  <si>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</si>
  <si>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</si>
  <si>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</si>
  <si>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</si>
  <si>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</si>
  <si>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</si>
  <si>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</si>
  <si>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</si>
  <si>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</si>
  <si>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</si>
  <si>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</si>
  <si>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</si>
  <si>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</si>
  <si>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</si>
  <si>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</si>
  <si>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</si>
  <si>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</si>
  <si>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</si>
  <si>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</si>
  <si>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</si>
  <si>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</si>
  <si>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</si>
  <si>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</si>
  <si>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</si>
  <si>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</si>
  <si>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</si>
  <si>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</si>
  <si>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</si>
  <si>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</si>
  <si>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</si>
  <si>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</si>
  <si>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</si>
  <si>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</si>
  <si>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</si>
  <si>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</si>
  <si>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</si>
  <si>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</si>
  <si>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</si>
  <si>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</si>
  <si>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</si>
  <si>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</si>
  <si>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</si>
  <si>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</si>
  <si>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</si>
  <si>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</si>
  <si>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</si>
  <si>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</si>
  <si>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</si>
  <si>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</si>
  <si>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</si>
  <si>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</si>
  <si>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</si>
  <si>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</si>
  <si>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</si>
  <si>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</si>
  <si>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</si>
  <si>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</si>
  <si>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</si>
  <si>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</si>
  <si>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</si>
  <si>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</si>
  <si>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</si>
  <si>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</si>
  <si>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</si>
  <si>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</si>
  <si>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</si>
  <si>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</si>
  <si>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</si>
  <si>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</si>
  <si>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</si>
  <si>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</si>
  <si>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</si>
  <si>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</si>
  <si>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</si>
  <si>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</si>
  <si>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</si>
  <si>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</si>
  <si>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</si>
  <si>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</si>
  <si>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</si>
  <si>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</si>
  <si>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</si>
  <si>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</si>
  <si>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</si>
  <si>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</si>
  <si>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</si>
  <si>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</si>
  <si>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</si>
  <si>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</si>
  <si>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</si>
  <si>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</si>
  <si>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</si>
  <si>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</si>
  <si>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</si>
  <si>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</si>
  <si>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</si>
  <si>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</si>
  <si>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</si>
  <si>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</si>
  <si>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</si>
  <si>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</si>
  <si>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</si>
  <si>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</si>
  <si>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</si>
  <si>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</si>
  <si>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</si>
  <si>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</si>
  <si>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</si>
  <si>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</si>
  <si>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</si>
  <si>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</si>
  <si>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</si>
  <si>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</si>
  <si>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</si>
  <si>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</si>
  <si>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</si>
  <si>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</si>
  <si>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</si>
  <si>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</si>
  <si>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</si>
  <si>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</si>
  <si>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</si>
  <si>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</si>
  <si>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</si>
  <si>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</si>
  <si>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</si>
  <si>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</si>
  <si>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</si>
  <si>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</si>
  <si>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</si>
  <si>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</si>
  <si>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</si>
  <si>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</si>
  <si>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</si>
  <si>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</si>
  <si>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</si>
  <si>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</si>
  <si>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</si>
  <si>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</si>
  <si>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</si>
  <si>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</si>
  <si>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</si>
  <si>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</si>
  <si>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</si>
  <si>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</si>
  <si>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</si>
  <si>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</si>
  <si>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</si>
  <si>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</si>
  <si>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</si>
  <si>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</si>
  <si>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</si>
  <si>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</si>
  <si>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</si>
  <si>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</si>
  <si>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</si>
  <si>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</si>
  <si>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</si>
  <si>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</si>
  <si>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</si>
  <si>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</si>
  <si>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</si>
  <si>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</si>
  <si>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</si>
  <si>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</si>
  <si>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</si>
  <si>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</si>
  <si>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</si>
  <si>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</si>
  <si>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</si>
  <si>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</si>
  <si>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</si>
  <si>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</si>
  <si>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</si>
  <si>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</si>
  <si>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</si>
  <si>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</si>
  <si>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</si>
  <si>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</si>
  <si>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</si>
  <si>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</si>
  <si>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</si>
  <si>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</si>
  <si>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</si>
  <si>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</si>
  <si>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</si>
  <si>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</si>
  <si>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</si>
  <si>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</si>
  <si>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</si>
  <si>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</si>
  <si>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</si>
  <si>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</si>
  <si>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</si>
  <si>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</si>
  <si>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</si>
  <si>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</si>
  <si>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</si>
  <si>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</si>
  <si>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</si>
  <si>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</si>
  <si>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</si>
  <si>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</si>
  <si>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</si>
  <si>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</si>
  <si>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</si>
  <si>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</si>
  <si>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</si>
  <si>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</si>
  <si>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</si>
  <si>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</si>
  <si>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</si>
  <si>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</si>
  <si>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</si>
  <si>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</si>
  <si>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</si>
  <si>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</si>
  <si>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</si>
  <si>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</si>
  <si>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</si>
  <si>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</si>
  <si>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</si>
  <si>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</si>
  <si>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</si>
  <si>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</si>
  <si>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</si>
  <si>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</si>
  <si>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</si>
  <si>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</si>
  <si>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</si>
  <si>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</si>
  <si>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</si>
  <si>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</si>
  <si>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</si>
  <si>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</si>
  <si>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</si>
  <si>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</si>
  <si>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</si>
  <si>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</si>
  <si>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</si>
  <si>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</si>
  <si>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</si>
  <si>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</si>
  <si>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</si>
  <si>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</si>
  <si>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</si>
  <si>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</si>
  <si>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</si>
  <si>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</si>
  <si>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</si>
  <si>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</si>
  <si>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</si>
  <si>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</si>
  <si>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</si>
  <si>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</si>
  <si>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</si>
  <si>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</si>
  <si>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</si>
  <si>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</si>
  <si>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</si>
  <si>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</si>
  <si>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</si>
  <si>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</si>
  <si>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</si>
  <si>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</si>
  <si>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</si>
  <si>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</si>
  <si>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</si>
  <si>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</si>
  <si>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</si>
  <si>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</si>
  <si>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</si>
  <si>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</si>
  <si>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</si>
  <si>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</si>
  <si>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</si>
  <si>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</si>
  <si>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</si>
  <si>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</si>
  <si>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</si>
  <si>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</si>
  <si>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</si>
  <si>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</si>
  <si>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</si>
  <si>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</si>
  <si>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</si>
  <si>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</si>
  <si>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</si>
  <si>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</si>
  <si>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</si>
  <si>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</si>
  <si>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</si>
  <si>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</si>
  <si>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</si>
  <si>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</si>
  <si>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</si>
  <si>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</si>
  <si>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</si>
  <si>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</si>
  <si>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</si>
  <si>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</si>
  <si>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</si>
  <si>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</si>
  <si>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</si>
  <si>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</si>
  <si>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</si>
  <si>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</si>
  <si>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</si>
  <si>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</si>
  <si>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</si>
  <si>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</si>
  <si>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</si>
  <si>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</si>
  <si>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</si>
  <si>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</si>
  <si>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</si>
  <si>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</si>
  <si>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</si>
  <si>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</si>
  <si>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</si>
  <si>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</si>
  <si>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</si>
  <si>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</si>
  <si>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</si>
  <si>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</si>
  <si>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</si>
  <si>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</si>
  <si>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</si>
  <si>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</si>
  <si>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</si>
  <si>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</si>
  <si>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</si>
  <si>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</si>
  <si>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</si>
  <si>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</si>
  <si>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</si>
  <si>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</si>
  <si>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</si>
  <si>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</si>
  <si>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</si>
  <si>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</si>
  <si>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</si>
  <si>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</si>
  <si>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</si>
  <si>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</si>
  <si>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</si>
  <si>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</si>
  <si>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</si>
  <si>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</si>
  <si>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</si>
  <si>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</si>
  <si>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</si>
  <si>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</si>
  <si>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</si>
  <si>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</si>
  <si>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</si>
  <si>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</si>
  <si>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</si>
  <si>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</si>
  <si>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</si>
  <si>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</si>
  <si>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</si>
  <si>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</si>
  <si>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</si>
  <si>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</si>
  <si>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</si>
  <si>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</si>
  <si>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</si>
  <si>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</si>
  <si>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</si>
  <si>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</si>
  <si>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</si>
  <si>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</si>
  <si>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</si>
  <si>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</si>
  <si>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</si>
  <si>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</si>
  <si>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</si>
  <si>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</si>
  <si>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</si>
  <si>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</si>
  <si>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</si>
  <si>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</si>
  <si>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</si>
  <si>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</si>
  <si>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</si>
  <si>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</si>
  <si>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</si>
  <si>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</si>
  <si>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</si>
  <si>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</si>
  <si>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</si>
  <si>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</si>
  <si>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</si>
  <si>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</si>
  <si>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</si>
  <si>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</si>
  <si>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</si>
  <si>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</si>
  <si>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</si>
  <si>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</si>
  <si>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</si>
  <si>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</si>
  <si>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</si>
  <si>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</si>
  <si>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</si>
  <si>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</si>
  <si>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</si>
  <si>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</si>
  <si>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</si>
  <si>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</si>
  <si>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</si>
  <si>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</si>
  <si>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</si>
  <si>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</si>
  <si>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</si>
  <si>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</si>
  <si>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</si>
  <si>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</si>
  <si>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</si>
  <si>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</si>
  <si>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</si>
  <si>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</si>
  <si>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</si>
  <si>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</si>
  <si>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</si>
  <si>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</si>
  <si>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</si>
  <si>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</si>
  <si>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</si>
  <si>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</si>
  <si>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</si>
  <si>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</si>
  <si>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</si>
  <si>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</si>
  <si>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</si>
  <si>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</si>
  <si>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</si>
  <si>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</si>
  <si>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</si>
  <si>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</si>
  <si>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</si>
  <si>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</si>
  <si>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</si>
  <si>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</si>
  <si>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</si>
  <si>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</si>
  <si>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</si>
  <si>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</si>
  <si>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</si>
  <si>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</si>
  <si>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</si>
  <si>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</si>
  <si>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</si>
  <si>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</si>
  <si>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</si>
  <si>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</si>
  <si>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</si>
  <si>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</si>
  <si>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</si>
  <si>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</si>
  <si>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</si>
  <si>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</si>
  <si>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</si>
  <si>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</si>
  <si>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</si>
  <si>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</si>
  <si>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</si>
  <si>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</si>
  <si>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</si>
  <si>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</si>
  <si>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</si>
  <si>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</si>
  <si>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</si>
  <si>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</si>
  <si>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</si>
  <si>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</si>
  <si>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</si>
  <si>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</si>
  <si>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</si>
  <si>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</si>
  <si>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</si>
  <si>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</si>
  <si>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</si>
  <si>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</si>
  <si>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</si>
  <si>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</si>
  <si>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</si>
  <si>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</si>
  <si>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</si>
  <si>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</si>
  <si>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</si>
  <si>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</si>
  <si>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</si>
  <si>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</si>
  <si>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</si>
  <si>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</si>
  <si>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</si>
  <si>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</si>
  <si>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</si>
  <si>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</si>
  <si>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</si>
  <si>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</si>
  <si>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</si>
  <si>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</si>
  <si>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</si>
  <si>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</si>
  <si>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</si>
  <si>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</si>
  <si>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</si>
  <si>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</si>
  <si>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</si>
  <si>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</si>
  <si>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</si>
  <si>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</si>
  <si>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</si>
  <si>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</si>
  <si>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</si>
  <si>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</si>
  <si>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</si>
  <si>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</si>
  <si>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</si>
  <si>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</si>
  <si>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</si>
  <si>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</si>
  <si>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</si>
  <si>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</si>
  <si>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</si>
  <si>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</si>
  <si>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</si>
  <si>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</si>
  <si>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</si>
  <si>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</si>
  <si>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</si>
  <si>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</si>
  <si>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</si>
  <si>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</si>
  <si>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</si>
  <si>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</si>
  <si>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</si>
  <si>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</si>
  <si>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</si>
  <si>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</si>
  <si>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</si>
  <si>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</si>
  <si>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</si>
  <si>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</si>
  <si>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</si>
  <si>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</si>
  <si>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</si>
  <si>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</si>
  <si>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</si>
  <si>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</si>
  <si>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</si>
  <si>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</si>
  <si>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</si>
  <si>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</si>
  <si>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</si>
  <si>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</si>
  <si>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</si>
  <si>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</si>
  <si>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</si>
  <si>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</si>
  <si>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</si>
  <si>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</si>
  <si>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</si>
  <si>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</si>
  <si>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</si>
  <si>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</si>
  <si>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</si>
  <si>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</si>
  <si>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</si>
  <si>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</si>
  <si>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</si>
  <si>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</si>
  <si>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</si>
  <si>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</si>
  <si>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</si>
  <si>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</si>
  <si>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</si>
  <si>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</si>
  <si>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</si>
  <si>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</si>
  <si>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</si>
  <si>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</si>
  <si>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</si>
  <si>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</si>
  <si>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</si>
  <si>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</si>
  <si>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</si>
  <si>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</si>
  <si>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</si>
  <si>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</si>
  <si>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</si>
  <si>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</si>
  <si>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</si>
  <si>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</si>
  <si>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</si>
  <si>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</si>
  <si>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</si>
  <si>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</si>
  <si>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</si>
  <si>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</si>
  <si>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</si>
  <si>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</si>
  <si>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</si>
  <si>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</si>
  <si>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</si>
  <si>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</si>
  <si>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</si>
  <si>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</si>
  <si>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</si>
  <si>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</si>
  <si>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</si>
  <si>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</si>
  <si>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</si>
  <si>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</si>
  <si>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</si>
  <si>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</si>
  <si>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</si>
  <si>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</si>
  <si>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</si>
  <si>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</si>
  <si>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</si>
  <si>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</si>
  <si>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</si>
  <si>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</si>
  <si>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</si>
  <si>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</si>
  <si>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</si>
  <si>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</si>
  <si>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</si>
  <si>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</si>
  <si>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</si>
  <si>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</si>
  <si>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</si>
  <si>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</si>
  <si>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</si>
  <si>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</si>
  <si>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</si>
  <si>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</si>
  <si>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</si>
  <si>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</si>
  <si>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</si>
  <si>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</si>
  <si>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</si>
  <si>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</si>
  <si>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</si>
  <si>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</si>
  <si>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</si>
  <si>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</si>
  <si>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</si>
  <si>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</si>
  <si>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</si>
  <si>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</si>
  <si>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</si>
  <si>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</si>
  <si>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</si>
  <si>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</si>
  <si>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</si>
  <si>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</si>
  <si>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</si>
  <si>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</si>
  <si>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</si>
  <si>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</si>
  <si>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</si>
  <si>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</si>
  <si>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</si>
  <si>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</si>
  <si>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</si>
  <si>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</si>
  <si>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</si>
  <si>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</si>
  <si>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</si>
  <si>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</si>
  <si>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</si>
  <si>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</si>
  <si>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</si>
  <si>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</si>
  <si>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</si>
  <si>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</si>
  <si>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</si>
  <si>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</si>
  <si>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</si>
  <si>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</si>
  <si>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</si>
  <si>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</si>
  <si>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</si>
  <si>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</si>
  <si>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</si>
  <si>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</si>
  <si>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</si>
  <si>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</si>
  <si>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</si>
  <si>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</si>
  <si>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</si>
  <si>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</si>
  <si>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</si>
  <si>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</si>
  <si>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</si>
  <si>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</si>
  <si>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</si>
  <si>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</si>
  <si>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</si>
  <si>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</si>
  <si>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</si>
  <si>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</si>
  <si>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</si>
  <si>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</si>
  <si>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</si>
  <si>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</si>
  <si>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</si>
  <si>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</si>
  <si>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</si>
  <si>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</si>
  <si>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</si>
  <si>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</si>
  <si>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</si>
  <si>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</si>
  <si>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</si>
  <si>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</si>
  <si>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</si>
  <si>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</si>
  <si>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</si>
  <si>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</si>
  <si>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</si>
  <si>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</si>
  <si>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</si>
  <si>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</si>
  <si>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</si>
  <si>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</si>
  <si>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</si>
  <si>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</si>
  <si>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</si>
  <si>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</si>
  <si>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</si>
  <si>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</si>
  <si>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</si>
  <si>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</si>
  <si>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</si>
  <si>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</si>
  <si>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</si>
  <si>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</si>
  <si>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</si>
  <si>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</si>
  <si>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</si>
  <si>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</si>
  <si>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</si>
  <si>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</si>
  <si>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</si>
  <si>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</si>
  <si>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</si>
  <si>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</si>
  <si>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</si>
  <si>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</si>
  <si>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</si>
  <si>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</si>
  <si>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</si>
  <si>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</si>
  <si>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</si>
  <si>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</si>
  <si>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</si>
  <si>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</si>
  <si>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</si>
  <si>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</si>
  <si>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</si>
  <si>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</si>
  <si>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</si>
  <si>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</si>
  <si>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</si>
  <si>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</si>
  <si>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</si>
  <si>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</si>
  <si>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</si>
  <si>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</si>
  <si>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</si>
  <si>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</si>
  <si>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</si>
  <si>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</si>
  <si>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</si>
  <si>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</si>
  <si>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</si>
  <si>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</si>
  <si>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</si>
  <si>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</si>
  <si>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</si>
  <si>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</si>
  <si>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</si>
  <si>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</si>
  <si>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</si>
  <si>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</si>
  <si>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</si>
  <si>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</si>
  <si>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</si>
  <si>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</si>
  <si>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</si>
  <si>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</si>
  <si>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</si>
  <si>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</si>
  <si>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</si>
  <si>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</si>
  <si>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</si>
  <si>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</si>
  <si>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</si>
  <si>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</si>
  <si>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</si>
  <si>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</si>
  <si>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</si>
  <si>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</si>
  <si>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</si>
  <si>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</si>
  <si>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</si>
  <si>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</si>
  <si>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</si>
  <si>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</si>
  <si>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</si>
  <si>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</si>
  <si>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</si>
  <si>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</si>
  <si>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</si>
  <si>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</si>
  <si>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</si>
  <si>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</si>
  <si>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</si>
  <si>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</si>
  <si>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</si>
  <si>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</si>
  <si>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</si>
  <si>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</si>
  <si>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</si>
  <si>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</si>
  <si>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</si>
  <si>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</si>
  <si>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</si>
  <si>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</si>
  <si>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</si>
  <si>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</si>
  <si>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</si>
  <si>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</si>
  <si>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</si>
  <si>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</si>
  <si>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</si>
  <si>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</si>
  <si>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</si>
  <si>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</si>
  <si>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</si>
  <si>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</si>
  <si>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</si>
  <si>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</si>
  <si>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</si>
  <si>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</si>
  <si>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</si>
  <si>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</si>
  <si>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</si>
  <si>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</si>
  <si>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</si>
  <si>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</si>
  <si>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</si>
  <si>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</si>
  <si>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</si>
  <si>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</si>
  <si>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</si>
  <si>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</si>
  <si>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</si>
  <si>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</si>
  <si>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</si>
  <si>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</si>
  <si>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</si>
  <si>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</si>
  <si>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</si>
  <si>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</si>
  <si>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</si>
  <si>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</si>
  <si>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</si>
  <si>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</si>
  <si>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</si>
  <si>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</si>
  <si>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</si>
  <si>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</si>
  <si>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</si>
  <si>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</si>
  <si>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</si>
  <si>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</si>
  <si>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</si>
  <si>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</si>
  <si>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</si>
  <si>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</si>
  <si>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</si>
  <si>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</si>
  <si>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</si>
  <si>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</si>
  <si>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</si>
  <si>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</si>
  <si>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</si>
  <si>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</si>
  <si>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</si>
  <si>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</si>
  <si>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</si>
  <si>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</si>
  <si>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</si>
  <si>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</si>
  <si>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</si>
  <si>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</si>
  <si>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</si>
  <si>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</si>
  <si>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</si>
  <si>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</si>
  <si>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</si>
  <si>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</si>
  <si>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</si>
  <si>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</si>
  <si>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</si>
  <si>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</si>
  <si>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</si>
  <si>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</si>
  <si>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</si>
  <si>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</si>
  <si>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</si>
  <si>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</si>
  <si>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</si>
  <si>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</si>
  <si>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</si>
  <si>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</si>
  <si>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</si>
  <si>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</si>
  <si>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</si>
  <si>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</si>
  <si>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</si>
  <si>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</si>
  <si>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</si>
  <si>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</si>
  <si>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</si>
  <si>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</si>
  <si>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</si>
  <si>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</si>
  <si>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</si>
  <si>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</si>
  <si>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</si>
  <si>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</si>
  <si>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</si>
  <si>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</si>
  <si>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</si>
  <si>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</si>
  <si>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</si>
  <si>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</si>
  <si>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</si>
  <si>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</si>
  <si>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</si>
  <si>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</si>
  <si>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</si>
  <si>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</si>
  <si>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</si>
  <si>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</si>
  <si>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</si>
  <si>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</si>
  <si>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</si>
  <si>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</si>
  <si>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</si>
  <si>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</si>
  <si>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</si>
  <si>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</si>
  <si>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</si>
  <si>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</si>
  <si>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</si>
  <si>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</si>
  <si>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</si>
  <si>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</si>
  <si>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</si>
  <si>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</si>
  <si>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</si>
  <si>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</si>
  <si>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</si>
  <si>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</si>
  <si>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</si>
  <si>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</si>
  <si>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</si>
  <si>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</si>
  <si>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</si>
  <si>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</si>
  <si>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</si>
  <si>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</si>
  <si>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</si>
  <si>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</si>
  <si>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</si>
  <si>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</si>
  <si>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</si>
  <si>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</si>
  <si>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</si>
  <si>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</si>
  <si>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</si>
  <si>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</si>
  <si>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</si>
  <si>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</si>
  <si>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</si>
  <si>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</si>
  <si>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</si>
  <si>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</si>
  <si>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</si>
  <si>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</si>
  <si>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</si>
  <si>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</si>
  <si>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</si>
  <si>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</si>
  <si>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</si>
  <si>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</si>
  <si>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</si>
  <si>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</si>
  <si>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</si>
  <si>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</si>
  <si>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</si>
  <si>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</si>
  <si>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</si>
  <si>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</si>
  <si>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</si>
  <si>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</si>
  <si>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</si>
  <si>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</si>
  <si>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</si>
  <si>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</si>
  <si>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</si>
  <si>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</si>
  <si>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</si>
  <si>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</si>
  <si>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</si>
  <si>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</si>
  <si>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</si>
  <si>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</si>
  <si>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</si>
  <si>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</si>
  <si>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</si>
  <si>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</si>
  <si>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</si>
  <si>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</si>
  <si>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</si>
  <si>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</si>
  <si>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</si>
  <si>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</si>
  <si>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</si>
  <si>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</si>
  <si>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</si>
  <si>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</si>
  <si>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</si>
  <si>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</si>
  <si>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</si>
  <si>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</si>
  <si>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</si>
  <si>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</si>
  <si>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</si>
  <si>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</si>
  <si>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</si>
  <si>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</si>
  <si>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</si>
  <si>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</si>
  <si>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</si>
  <si>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</si>
  <si>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</si>
  <si>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</si>
  <si>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</si>
  <si>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</si>
  <si>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</si>
  <si>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</si>
  <si>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</si>
  <si>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</si>
  <si>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</si>
  <si>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</si>
  <si>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</si>
  <si>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</si>
  <si>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</si>
  <si>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</si>
  <si>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</si>
  <si>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</si>
  <si>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</si>
  <si>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</si>
  <si>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</si>
  <si>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</si>
  <si>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</si>
  <si>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</si>
  <si>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</si>
  <si>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</si>
  <si>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</si>
  <si>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</si>
  <si>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</si>
  <si>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</si>
  <si>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</si>
  <si>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</si>
  <si>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</si>
  <si>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</si>
  <si>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</si>
  <si>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</si>
  <si>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</si>
  <si>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</si>
  <si>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</si>
  <si>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</si>
  <si>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</si>
  <si>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</si>
  <si>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</si>
  <si>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</si>
  <si>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</si>
  <si>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</si>
  <si>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</si>
  <si>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</si>
  <si>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</si>
  <si>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</si>
  <si>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</si>
  <si>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</si>
  <si>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</si>
  <si>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</si>
  <si>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</si>
  <si>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</si>
  <si>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</si>
  <si>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</si>
  <si>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</si>
  <si>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</si>
  <si>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</si>
  <si>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</si>
  <si>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</si>
  <si>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</si>
  <si>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</si>
  <si>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</si>
  <si>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</si>
  <si>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</si>
  <si>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</si>
  <si>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</si>
  <si>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</si>
  <si>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</si>
  <si>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</si>
  <si>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</si>
  <si>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</si>
  <si>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</si>
  <si>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</si>
  <si>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</si>
  <si>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</si>
  <si>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</si>
  <si>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</si>
  <si>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</si>
  <si>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</si>
  <si>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</si>
  <si>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</si>
  <si>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</si>
  <si>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</si>
  <si>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</si>
  <si>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</si>
  <si>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</si>
  <si>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</si>
  <si>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</si>
  <si>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</si>
  <si>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</si>
  <si>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</si>
  <si>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</si>
  <si>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</si>
  <si>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</si>
  <si>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</si>
  <si>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</si>
  <si>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</si>
  <si>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</si>
  <si>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</si>
  <si>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</si>
  <si>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</si>
  <si>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</si>
  <si>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</si>
  <si>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</si>
  <si>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</si>
  <si>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</si>
  <si>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</si>
  <si>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</si>
  <si>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</si>
  <si>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</si>
  <si>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</si>
  <si>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</si>
  <si>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</si>
  <si>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</si>
  <si>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</si>
  <si>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</si>
  <si>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</si>
  <si>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</si>
  <si>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</si>
  <si>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</si>
  <si>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</si>
  <si>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</si>
  <si>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</si>
  <si>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</si>
  <si>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</si>
  <si>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</si>
  <si>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</si>
  <si>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</si>
  <si>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</si>
  <si>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</si>
  <si>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</si>
  <si>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</si>
  <si>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</si>
  <si>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</si>
  <si>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</si>
  <si>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</si>
  <si>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</si>
  <si>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</si>
  <si>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</si>
  <si>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</si>
  <si>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</si>
  <si>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</si>
  <si>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</si>
  <si>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</si>
  <si>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</si>
  <si>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</si>
  <si>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</si>
  <si>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</si>
  <si>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</si>
  <si>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</si>
  <si>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</si>
  <si>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</si>
  <si>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</si>
  <si>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</si>
  <si>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</si>
  <si>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</si>
  <si>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</si>
  <si>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</si>
  <si>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</si>
  <si>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</si>
  <si>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</si>
  <si>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</si>
  <si>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</si>
  <si>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</si>
  <si>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</si>
  <si>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</si>
  <si>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</si>
  <si>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</si>
  <si>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</si>
  <si>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</si>
  <si>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</si>
  <si>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</si>
  <si>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</si>
  <si>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</si>
  <si>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</si>
  <si>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</si>
  <si>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</si>
  <si>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</si>
  <si>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</si>
  <si>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</si>
  <si>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</si>
  <si>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</si>
  <si>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</si>
  <si>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</si>
  <si>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</si>
  <si>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</si>
  <si>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</si>
  <si>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</si>
  <si>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</si>
  <si>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</si>
  <si>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</si>
  <si>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</si>
  <si>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</si>
  <si>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</si>
  <si>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</si>
  <si>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</si>
  <si>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</si>
  <si>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</si>
  <si>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</si>
  <si>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</si>
  <si>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</si>
  <si>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</si>
  <si>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</si>
  <si>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</si>
  <si>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</si>
  <si>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</si>
  <si>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</si>
  <si>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</si>
  <si>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</si>
  <si>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</si>
  <si>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</si>
  <si>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</si>
  <si>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</si>
  <si>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</si>
  <si>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</si>
  <si>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</si>
  <si>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</si>
  <si>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</si>
  <si>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</si>
  <si>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</si>
  <si>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</si>
  <si>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</si>
  <si>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</si>
  <si>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</si>
  <si>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</si>
  <si>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</si>
  <si>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</si>
  <si>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</si>
  <si>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</si>
  <si>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</si>
  <si>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</si>
  <si>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</si>
  <si>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</si>
  <si>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</si>
  <si>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</si>
  <si>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</si>
  <si>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</si>
  <si>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</si>
  <si>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</si>
  <si>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</si>
  <si>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</si>
  <si>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</si>
  <si>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</si>
  <si>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</si>
  <si>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</si>
  <si>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</si>
  <si>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</si>
  <si>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</si>
  <si>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</si>
  <si>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</si>
  <si>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</si>
  <si>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</si>
  <si>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</si>
  <si>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</si>
  <si>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</si>
  <si>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</si>
  <si>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</si>
  <si>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</si>
  <si>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</si>
  <si>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</si>
  <si>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</si>
  <si>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</si>
  <si>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</si>
  <si>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</si>
  <si>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</si>
  <si>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</si>
  <si>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</si>
  <si>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</si>
  <si>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</si>
  <si>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</si>
  <si>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</si>
  <si>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</si>
  <si>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</si>
  <si>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</si>
  <si>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</si>
  <si>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</si>
  <si>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</si>
  <si>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</si>
  <si>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</si>
  <si>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</si>
  <si>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</si>
  <si>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</si>
  <si>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</si>
  <si>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</si>
  <si>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</si>
  <si>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</si>
  <si>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</si>
  <si>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</si>
  <si>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</si>
  <si>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</si>
  <si>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</si>
  <si>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</si>
  <si>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</si>
  <si>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</si>
  <si>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</si>
  <si>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</si>
  <si>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</si>
  <si>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</si>
  <si>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</si>
  <si>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</si>
  <si>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</si>
  <si>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</si>
  <si>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</si>
  <si>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</si>
  <si>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</si>
  <si>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</si>
  <si>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</si>
  <si>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</si>
  <si>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</si>
  <si>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</si>
  <si>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</si>
  <si>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</si>
  <si>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</si>
  <si>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</si>
  <si>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</si>
  <si>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</si>
  <si>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</si>
  <si>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</si>
  <si>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</si>
  <si>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</si>
  <si>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</si>
  <si>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</si>
  <si>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</si>
  <si>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</si>
  <si>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</si>
  <si>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</si>
  <si>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</si>
  <si>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</si>
  <si>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</si>
  <si>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</si>
  <si>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</si>
  <si>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</si>
  <si>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</si>
  <si>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</si>
  <si>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</si>
  <si>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</si>
  <si>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</si>
  <si>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</si>
  <si>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</si>
  <si>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</si>
  <si>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</si>
  <si>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</si>
  <si>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</si>
  <si>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</si>
  <si>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</si>
  <si>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</si>
  <si>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</si>
  <si>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</si>
  <si>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</si>
  <si>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</si>
  <si>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</si>
  <si>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</si>
  <si>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</si>
  <si>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</si>
  <si>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</si>
  <si>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</si>
  <si>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</si>
  <si>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</si>
  <si>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</si>
  <si>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</si>
  <si>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</si>
  <si>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</si>
  <si>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</si>
  <si>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</si>
  <si>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</si>
  <si>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</si>
  <si>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</si>
  <si>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</si>
  <si>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</si>
  <si>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</si>
  <si>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</si>
  <si>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</si>
  <si>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</si>
  <si>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</si>
  <si>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</si>
  <si>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</si>
  <si>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</si>
  <si>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</si>
  <si>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</si>
  <si>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</si>
  <si>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</si>
  <si>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</si>
  <si>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</si>
  <si>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</si>
  <si>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</si>
  <si>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</si>
  <si>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</si>
  <si>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</si>
  <si>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</si>
  <si>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</si>
  <si>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</si>
  <si>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</si>
  <si>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</si>
  <si>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</si>
  <si>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</si>
  <si>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</si>
  <si>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</si>
  <si>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</si>
  <si>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</si>
  <si>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</si>
  <si>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</si>
  <si>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</si>
  <si>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</si>
  <si>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</si>
  <si>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</si>
  <si>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</si>
  <si>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</si>
  <si>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</si>
  <si>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</si>
  <si>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</si>
  <si>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</si>
  <si>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</si>
  <si>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</si>
  <si>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</si>
  <si>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</si>
  <si>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</si>
  <si>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</si>
  <si>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</si>
  <si>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</si>
  <si>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</si>
  <si>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</si>
  <si>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</si>
  <si>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</si>
  <si>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</si>
  <si>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</si>
  <si>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</si>
  <si>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</si>
  <si>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</si>
  <si>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</si>
  <si>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</si>
  <si>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</si>
  <si>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</si>
  <si>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</si>
  <si>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</si>
  <si>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</si>
  <si>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</si>
  <si>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</si>
  <si>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</si>
  <si>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</si>
  <si>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</si>
  <si>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</si>
  <si>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</si>
  <si>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</si>
  <si>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</si>
  <si>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</si>
  <si>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</si>
  <si>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</si>
  <si>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</si>
  <si>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</si>
  <si>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</si>
  <si>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</si>
  <si>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</si>
  <si>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</si>
  <si>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</si>
  <si>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</si>
  <si>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</si>
  <si>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</si>
  <si>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</si>
  <si>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</si>
  <si>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</si>
  <si>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</si>
  <si>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</si>
  <si>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</si>
  <si>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</si>
  <si>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</si>
  <si>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</si>
  <si>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</si>
  <si>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</si>
  <si>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</si>
  <si>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</si>
  <si>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</si>
  <si>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</si>
  <si>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</si>
  <si>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</si>
  <si>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</si>
  <si>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</si>
  <si>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</si>
  <si>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</si>
  <si>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</si>
  <si>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</si>
  <si>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</si>
  <si>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</si>
  <si>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</si>
  <si>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</si>
  <si>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</si>
  <si>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</si>
  <si>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</si>
  <si>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</si>
  <si>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</si>
  <si>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</si>
  <si>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</si>
  <si>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</si>
  <si>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</si>
  <si>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</si>
  <si>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</si>
  <si>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</si>
  <si>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</si>
  <si>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</si>
  <si>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</si>
  <si>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</si>
  <si>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</si>
  <si>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</si>
  <si>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</si>
  <si>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</si>
  <si>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</si>
  <si>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</si>
  <si>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</si>
  <si>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</si>
  <si>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</si>
  <si>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</si>
  <si>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</si>
  <si>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</si>
  <si>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</si>
  <si>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</si>
  <si>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</si>
  <si>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</si>
  <si>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</si>
  <si>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</si>
  <si>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</si>
  <si>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</si>
  <si>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</si>
  <si>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</si>
  <si>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</si>
  <si>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</si>
  <si>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</si>
  <si>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</si>
  <si>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</si>
  <si>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</si>
  <si>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</si>
  <si>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</si>
  <si>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</si>
  <si>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</si>
  <si>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</si>
  <si>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</si>
  <si>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</si>
  <si>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</si>
  <si>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</si>
  <si>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</si>
  <si>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</si>
  <si>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</si>
  <si>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</si>
  <si>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</si>
  <si>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</si>
  <si>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</si>
  <si>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</si>
  <si>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</si>
  <si>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</si>
  <si>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</si>
  <si>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</si>
  <si>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</si>
  <si>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</si>
  <si>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</si>
  <si>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</si>
  <si>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</si>
  <si>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</si>
  <si>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</si>
  <si>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</si>
  <si>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</si>
  <si>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</si>
  <si>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</si>
  <si>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</si>
  <si>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</si>
  <si>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</si>
  <si>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</si>
  <si>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</si>
  <si>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</si>
  <si>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</si>
  <si>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</si>
  <si>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</si>
  <si>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</si>
  <si>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</si>
  <si>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</si>
  <si>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</si>
  <si>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</si>
  <si>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</si>
  <si>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</si>
  <si>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</si>
  <si>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</si>
  <si>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</si>
  <si>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</si>
  <si>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</si>
  <si>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</si>
  <si>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</si>
  <si>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</si>
  <si>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</si>
  <si>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</si>
  <si>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</si>
  <si>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</si>
  <si>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</si>
  <si>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</si>
  <si>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</si>
  <si>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</si>
  <si>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</si>
  <si>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</si>
  <si>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</si>
  <si>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</si>
  <si>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</si>
  <si>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</si>
  <si>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</si>
  <si>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</si>
  <si>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</si>
  <si>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</si>
  <si>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</si>
  <si>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</si>
  <si>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</si>
  <si>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</si>
  <si>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</si>
  <si>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</si>
  <si>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</si>
  <si>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</si>
  <si>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</si>
  <si>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</si>
  <si>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</si>
  <si>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</si>
  <si>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</si>
  <si>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</si>
  <si>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</si>
  <si>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</si>
  <si>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</si>
  <si>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</si>
  <si>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</si>
  <si>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</si>
  <si>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</si>
  <si>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</si>
  <si>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</si>
  <si>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</si>
  <si>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</si>
  <si>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</si>
  <si>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</si>
  <si>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</si>
  <si>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</si>
  <si>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</si>
  <si>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</si>
  <si>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</si>
  <si>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</si>
  <si>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</si>
  <si>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</si>
  <si>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</si>
  <si>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</si>
  <si>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</si>
  <si>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</si>
  <si>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</si>
  <si>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</si>
  <si>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</si>
  <si>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</si>
  <si>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</si>
  <si>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</si>
  <si>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</si>
  <si>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</si>
  <si>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</si>
  <si>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</si>
  <si>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</si>
  <si>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</si>
  <si>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</si>
  <si>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</si>
  <si>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</si>
  <si>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</si>
  <si>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</si>
  <si>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</si>
  <si>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</si>
  <si>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</si>
  <si>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</si>
  <si>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</si>
  <si>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</si>
  <si>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</si>
  <si>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</si>
  <si>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</si>
  <si>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</si>
  <si>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</si>
  <si>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</si>
  <si>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</si>
  <si>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</si>
  <si>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</si>
  <si>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</si>
  <si>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</si>
  <si>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</si>
  <si>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</si>
  <si>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</si>
  <si>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</si>
  <si>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</si>
  <si>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</si>
  <si>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</si>
  <si>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</si>
  <si>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</si>
  <si>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</si>
  <si>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</si>
  <si>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</si>
  <si>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</si>
  <si>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</si>
  <si>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</si>
  <si>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</si>
  <si>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</si>
  <si>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</si>
  <si>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</si>
  <si>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</si>
  <si>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</si>
  <si>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</si>
  <si>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</si>
  <si>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</si>
  <si>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</si>
  <si>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</si>
  <si>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</si>
  <si>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</si>
  <si>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</si>
  <si>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</si>
  <si>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</si>
  <si>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</si>
  <si>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</si>
  <si>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</si>
  <si>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</si>
  <si>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</si>
  <si>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</si>
  <si>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</si>
  <si>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</si>
  <si>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</si>
  <si>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</si>
  <si>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</si>
  <si>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</si>
  <si>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</si>
  <si>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</si>
  <si>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</si>
  <si>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</si>
  <si>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</si>
  <si>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</si>
  <si>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</si>
  <si>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</si>
  <si>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</si>
  <si>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</si>
  <si>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</si>
  <si>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</si>
  <si>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</si>
  <si>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</si>
  <si>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</si>
  <si>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</si>
  <si>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</si>
  <si>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</si>
  <si>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</si>
  <si>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</si>
  <si>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</si>
  <si>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</si>
  <si>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</si>
  <si>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</si>
  <si>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</si>
  <si>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</si>
  <si>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</si>
  <si>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</si>
  <si>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</si>
  <si>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</si>
  <si>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</si>
  <si>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</si>
  <si>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</si>
  <si>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</si>
  <si>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</si>
  <si>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</si>
  <si>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</si>
  <si>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</si>
  <si>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</si>
  <si>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</si>
  <si>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</si>
  <si>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</si>
  <si>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</si>
  <si>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</si>
  <si>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</si>
  <si>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</si>
  <si>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</si>
  <si>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</si>
  <si>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</si>
  <si>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</si>
  <si>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</si>
  <si>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</si>
  <si>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</si>
  <si>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</si>
  <si>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</si>
  <si>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</si>
  <si>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</si>
  <si>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</si>
  <si>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</si>
  <si>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</si>
  <si>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</si>
  <si>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</si>
  <si>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</si>
  <si>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</si>
  <si>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</si>
  <si>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</si>
  <si>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</si>
  <si>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</si>
  <si>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</si>
  <si>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</si>
  <si>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</si>
  <si>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</si>
  <si>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</si>
  <si>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</si>
  <si>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</si>
  <si>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</si>
  <si>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</si>
  <si>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</si>
  <si>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</si>
  <si>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</si>
  <si>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</si>
  <si>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</si>
  <si>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</si>
  <si>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</si>
  <si>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</si>
  <si>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</si>
  <si>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</si>
  <si>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</si>
  <si>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</si>
  <si>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</si>
  <si>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</si>
  <si>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</si>
  <si>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</si>
  <si>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</si>
  <si>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</si>
  <si>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</si>
  <si>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</si>
  <si>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</si>
  <si>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</si>
  <si>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</si>
  <si>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</si>
  <si>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</si>
  <si>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</si>
  <si>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</si>
  <si>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</si>
  <si>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</si>
  <si>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</si>
  <si>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</si>
  <si>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</si>
  <si>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</si>
  <si>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</si>
  <si>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</si>
  <si>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</si>
  <si>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</si>
  <si>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</si>
  <si>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</si>
  <si>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</si>
  <si>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</si>
  <si>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</si>
  <si>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</si>
  <si>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</si>
  <si>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</si>
  <si>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</si>
  <si>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</si>
  <si>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</si>
  <si>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</si>
  <si>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</si>
  <si>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</si>
  <si>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</si>
  <si>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</si>
  <si>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</si>
  <si>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</si>
  <si>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</si>
  <si>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</si>
  <si>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</si>
  <si>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</si>
  <si>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</si>
  <si>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</si>
  <si>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</si>
  <si>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</si>
  <si>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</si>
  <si>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</si>
  <si>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</si>
  <si>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</si>
  <si>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</si>
  <si>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</si>
  <si>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</si>
  <si>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</si>
  <si>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</si>
  <si>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</si>
  <si>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</si>
  <si>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</si>
  <si>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</si>
  <si>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</si>
  <si>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</si>
  <si>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</si>
  <si>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</si>
  <si>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</si>
  <si>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</si>
  <si>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</si>
  <si>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</si>
  <si>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</si>
  <si>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</si>
  <si>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</si>
  <si>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</si>
  <si>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</si>
  <si>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</si>
  <si>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</si>
  <si>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</si>
  <si>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</si>
  <si>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</si>
  <si>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</si>
  <si>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</si>
  <si>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</si>
  <si>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</si>
  <si>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</si>
  <si>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</si>
  <si>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</si>
  <si>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</si>
  <si>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</si>
  <si>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</si>
  <si>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</si>
  <si>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</si>
  <si>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</si>
  <si>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</si>
  <si>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</si>
  <si>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</si>
  <si>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</si>
  <si>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</si>
  <si>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</si>
  <si>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</si>
  <si>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</si>
  <si>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</si>
  <si>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</si>
  <si>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</si>
  <si>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</si>
  <si>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</si>
  <si>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</si>
  <si>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</si>
  <si>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</si>
  <si>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</si>
  <si>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</si>
  <si>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</si>
  <si>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</si>
  <si>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</si>
  <si>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</si>
  <si>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</si>
  <si>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</si>
  <si>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</si>
  <si>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</si>
  <si>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</si>
  <si>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</si>
  <si>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</si>
  <si>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</si>
  <si>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</si>
  <si>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</si>
  <si>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</si>
  <si>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</si>
  <si>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</si>
  <si>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</si>
  <si>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</si>
  <si>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</si>
  <si>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</si>
  <si>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</si>
  <si>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</si>
  <si>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</si>
  <si>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</si>
  <si>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</si>
  <si>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</si>
  <si>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</si>
  <si>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</si>
  <si>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</si>
  <si>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</si>
  <si>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</si>
  <si>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</si>
  <si>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</si>
  <si>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</si>
  <si>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</si>
  <si>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</si>
  <si>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</si>
  <si>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</si>
  <si>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</si>
  <si>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</si>
  <si>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</si>
  <si>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</si>
  <si>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</si>
  <si>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</si>
  <si>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</si>
  <si>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</si>
  <si>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</si>
  <si>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</si>
  <si>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</si>
  <si>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</si>
  <si>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</si>
  <si>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</si>
  <si>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</si>
  <si>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</si>
  <si>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</si>
  <si>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</si>
  <si>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</si>
  <si>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</si>
  <si>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</si>
  <si>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</si>
  <si>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</si>
  <si>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</si>
  <si>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</si>
  <si>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</si>
  <si>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</si>
  <si>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</si>
  <si>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</si>
  <si>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</si>
  <si>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</si>
  <si>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</si>
  <si>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</si>
  <si>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</si>
  <si>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</si>
  <si>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</si>
  <si>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</si>
  <si>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</si>
  <si>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</si>
  <si>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</si>
  <si>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</si>
  <si>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</si>
  <si>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</si>
  <si>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</si>
  <si>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</si>
  <si>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</si>
  <si>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</si>
  <si>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</si>
  <si>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</si>
  <si>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</si>
  <si>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</si>
  <si>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</si>
  <si>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</si>
  <si>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</si>
  <si>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</si>
  <si>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</si>
  <si>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</si>
  <si>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</si>
  <si>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</si>
  <si>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</si>
  <si>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</si>
  <si>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</si>
  <si>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</si>
  <si>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</si>
  <si>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</si>
  <si>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</si>
  <si>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</si>
  <si>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</si>
  <si>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</si>
  <si>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</si>
  <si>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</si>
  <si>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</si>
  <si>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</si>
  <si>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</si>
  <si>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</si>
  <si>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</si>
  <si>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</si>
  <si>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</si>
  <si>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</si>
  <si>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</si>
  <si>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</si>
  <si>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</si>
  <si>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</si>
  <si>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</si>
  <si>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</si>
  <si>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</si>
  <si>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</si>
  <si>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</si>
  <si>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</si>
  <si>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</si>
  <si>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</si>
  <si>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</si>
  <si>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</si>
  <si>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</si>
  <si>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</si>
  <si>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</si>
  <si>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</si>
  <si>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</si>
  <si>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</si>
  <si>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</si>
  <si>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</si>
  <si>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</si>
  <si>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</si>
  <si>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</si>
  <si>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</si>
  <si>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</si>
  <si>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</si>
  <si>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</si>
  <si>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</si>
  <si>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</si>
  <si>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</si>
  <si>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</si>
  <si>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</si>
  <si>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</si>
  <si>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</si>
  <si>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</si>
  <si>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</si>
  <si>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</si>
  <si>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</si>
  <si>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</si>
  <si>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</si>
  <si>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</si>
  <si>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</si>
  <si>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</si>
  <si>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</si>
  <si>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</si>
  <si>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</si>
  <si>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</si>
  <si>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</si>
  <si>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</si>
  <si>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</si>
  <si>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</si>
  <si>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</si>
  <si>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</si>
  <si>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</si>
  <si>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</si>
  <si>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</si>
  <si>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</si>
  <si>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</si>
  <si>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</si>
  <si>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</si>
  <si>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</si>
  <si>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</si>
  <si>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</si>
  <si>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</si>
  <si>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</si>
  <si>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</si>
  <si>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</si>
  <si>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</si>
  <si>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</si>
  <si>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</si>
  <si>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</si>
  <si>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</si>
  <si>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</si>
  <si>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</si>
  <si>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</si>
  <si>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</si>
  <si>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</si>
  <si>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</si>
  <si>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</si>
  <si>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</si>
  <si>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</si>
  <si>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</si>
  <si>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</si>
  <si>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</si>
  <si>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</si>
  <si>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</si>
  <si>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</si>
  <si>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</si>
  <si>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</si>
  <si>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</si>
  <si>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</si>
  <si>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</si>
  <si>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</si>
  <si>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</si>
  <si>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</si>
  <si>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</si>
  <si>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</si>
  <si>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</si>
  <si>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</si>
  <si>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</si>
  <si>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</si>
  <si>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</si>
  <si>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</si>
  <si>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</si>
  <si>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</si>
  <si>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</si>
  <si>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</si>
  <si>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</si>
  <si>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</si>
  <si>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</si>
  <si>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</si>
  <si>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</si>
  <si>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</si>
  <si>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</si>
  <si>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</si>
  <si>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</si>
  <si>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</si>
  <si>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</si>
  <si>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</si>
  <si>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</si>
  <si>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</si>
  <si>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</si>
  <si>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</si>
  <si>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</si>
  <si>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</si>
  <si>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</si>
  <si>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</si>
  <si>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</si>
  <si>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</si>
  <si>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</si>
  <si>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</si>
  <si>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</si>
  <si>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</si>
  <si>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</si>
  <si>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</si>
  <si>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</si>
  <si>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</si>
  <si>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</si>
  <si>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</si>
  <si>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</si>
  <si>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</si>
  <si>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</si>
  <si>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</si>
  <si>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</si>
  <si>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</si>
  <si>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</si>
  <si>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</si>
  <si>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</si>
  <si>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</si>
  <si>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</si>
  <si>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</si>
  <si>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</si>
  <si>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</si>
  <si>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</si>
  <si>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</si>
  <si>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</si>
  <si>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</si>
  <si>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</si>
  <si>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</si>
  <si>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</si>
  <si>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</si>
  <si>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</si>
  <si>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</si>
  <si>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</si>
  <si>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</si>
  <si>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</si>
  <si>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</si>
  <si>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</si>
  <si>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</si>
  <si>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</si>
  <si>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</si>
  <si>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</si>
  <si>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</si>
  <si>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</si>
  <si>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</si>
  <si>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</si>
  <si>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</si>
  <si>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</si>
  <si>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</si>
  <si>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</si>
  <si>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</si>
  <si>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</si>
  <si>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</si>
  <si>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</si>
  <si>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</si>
  <si>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</si>
  <si>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</si>
  <si>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</si>
  <si>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</si>
  <si>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</si>
  <si>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</si>
  <si>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</si>
  <si>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</si>
  <si>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</si>
  <si>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</si>
  <si>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</si>
  <si>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</si>
  <si>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</si>
  <si>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</si>
  <si>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</si>
  <si>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</si>
  <si>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</si>
  <si>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</si>
  <si>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</si>
  <si>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</si>
  <si>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</si>
  <si>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</si>
  <si>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</si>
  <si>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</si>
  <si>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</si>
  <si>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</si>
  <si>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</si>
  <si>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</si>
  <si>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</si>
  <si>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</si>
  <si>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</si>
  <si>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</si>
  <si>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</si>
  <si>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</si>
  <si>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</si>
  <si>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</si>
  <si>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</si>
  <si>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</si>
  <si>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</si>
  <si>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</si>
  <si>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</si>
  <si>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</si>
  <si>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</si>
  <si>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</si>
  <si>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</si>
  <si>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</si>
  <si>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</si>
  <si>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</si>
  <si>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</si>
  <si>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</si>
  <si>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</si>
  <si>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</si>
  <si>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</si>
  <si>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</si>
  <si>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</si>
  <si>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</si>
  <si>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</si>
  <si>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</si>
  <si>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</si>
  <si>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</si>
  <si>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</si>
  <si>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</si>
  <si>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</si>
  <si>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</si>
  <si>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</si>
  <si>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</si>
  <si>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</si>
  <si>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</si>
  <si>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</si>
  <si>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</si>
  <si>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</si>
  <si>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</si>
  <si>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</si>
  <si>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</si>
  <si>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</si>
  <si>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</si>
  <si>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</si>
  <si>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</si>
  <si>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</si>
  <si>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</si>
  <si>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</si>
  <si>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</si>
  <si>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</si>
  <si>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</si>
  <si>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</si>
  <si>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</si>
  <si>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</si>
  <si>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</si>
  <si>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</si>
  <si>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</si>
  <si>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</si>
  <si>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</si>
  <si>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</si>
  <si>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</si>
  <si>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</si>
  <si>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</si>
  <si>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</si>
  <si>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</si>
  <si>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</si>
  <si>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</si>
  <si>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</si>
  <si>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</si>
  <si>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</si>
  <si>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</si>
  <si>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</si>
  <si>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</si>
  <si>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</si>
  <si>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</si>
  <si>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</si>
  <si>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</si>
  <si>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</si>
  <si>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</si>
  <si>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</si>
  <si>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</si>
  <si>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</si>
  <si>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</si>
  <si>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</si>
  <si>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</si>
  <si>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</si>
  <si>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</si>
  <si>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</si>
  <si>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</si>
  <si>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</si>
  <si>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</si>
  <si>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</si>
  <si>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</si>
  <si>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</si>
  <si>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</si>
  <si>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</si>
  <si>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</si>
  <si>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</si>
  <si>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</si>
  <si>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</si>
  <si>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</si>
  <si>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</si>
  <si>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</si>
  <si>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</si>
  <si>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</si>
  <si>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</si>
  <si>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</si>
  <si>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</si>
  <si>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</si>
  <si>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</si>
  <si>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</si>
  <si>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</si>
  <si>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</si>
  <si>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</si>
  <si>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</si>
  <si>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</si>
  <si>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</si>
  <si>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</si>
  <si>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</si>
  <si>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</si>
  <si>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</si>
  <si>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</si>
  <si>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</si>
  <si>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</si>
  <si>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</si>
  <si>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</si>
  <si>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</si>
  <si>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</si>
  <si>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</si>
  <si>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</si>
  <si>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</si>
  <si>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</si>
  <si>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</si>
  <si>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</si>
  <si>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</si>
  <si>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</si>
  <si>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</si>
  <si>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</si>
  <si>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</si>
  <si>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</si>
  <si>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</si>
  <si>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</si>
  <si>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</si>
  <si>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</si>
  <si>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</si>
  <si>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</si>
  <si>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</si>
  <si>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</si>
  <si>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</si>
  <si>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</si>
  <si>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</si>
  <si>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</si>
  <si>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</si>
  <si>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</si>
  <si>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</si>
  <si>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</si>
  <si>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</si>
  <si>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</si>
  <si>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</si>
  <si>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</si>
  <si>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</si>
  <si>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</si>
  <si>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</si>
  <si>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</si>
  <si>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</si>
  <si>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</si>
  <si>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</si>
  <si>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</si>
  <si>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</si>
  <si>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</si>
  <si>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</si>
  <si>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</si>
  <si>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</si>
  <si>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</si>
  <si>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</si>
  <si>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</si>
  <si>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</si>
  <si>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</si>
  <si>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</si>
  <si>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</si>
  <si>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</si>
  <si>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</si>
  <si>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</si>
  <si>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</si>
  <si>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</si>
  <si>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</si>
  <si>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</si>
  <si>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</si>
  <si>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</si>
  <si>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</si>
  <si>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</si>
  <si>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</si>
  <si>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</si>
  <si>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</si>
  <si>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</si>
  <si>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</si>
  <si>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</si>
  <si>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</si>
  <si>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</si>
  <si>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</si>
  <si>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</si>
  <si>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</si>
  <si>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</si>
  <si>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</si>
  <si>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</si>
  <si>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</si>
  <si>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</si>
  <si>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</si>
  <si>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</si>
  <si>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</si>
  <si>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</si>
  <si>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</si>
  <si>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</si>
  <si>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</si>
  <si>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</si>
  <si>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</si>
  <si>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</si>
  <si>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</si>
  <si>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</si>
  <si>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</si>
  <si>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</si>
  <si>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</si>
  <si>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</si>
  <si>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</si>
  <si>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</si>
  <si>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</si>
  <si>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</si>
  <si>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</si>
  <si>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</si>
  <si>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</si>
  <si>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</si>
  <si>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</si>
  <si>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</si>
  <si>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</si>
  <si>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</si>
  <si>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</si>
  <si>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</si>
  <si>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</si>
  <si>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</si>
  <si>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</si>
  <si>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</si>
  <si>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</si>
  <si>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</si>
  <si>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</si>
  <si>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</si>
  <si>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</si>
  <si>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</si>
  <si>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</si>
  <si>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</si>
  <si>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</si>
  <si>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</si>
  <si>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</si>
  <si>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</si>
  <si>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</si>
  <si>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</si>
  <si>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</si>
  <si>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</si>
  <si>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</si>
  <si>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</si>
  <si>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</si>
  <si>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</si>
  <si>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</si>
  <si>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</si>
  <si>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</si>
  <si>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</si>
  <si>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</si>
  <si>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</si>
  <si>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</si>
  <si>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</si>
  <si>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</si>
  <si>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</si>
  <si>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</si>
  <si>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</si>
  <si>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</si>
  <si>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</si>
  <si>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</si>
  <si>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</si>
  <si>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</si>
  <si>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</si>
  <si>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</si>
  <si>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</si>
  <si>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</si>
  <si>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</si>
  <si>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</si>
  <si>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</si>
  <si>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</si>
  <si>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</si>
  <si>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</si>
  <si>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</si>
  <si>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</si>
  <si>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</si>
  <si>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</si>
  <si>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</si>
  <si>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</si>
  <si>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</si>
  <si>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</si>
  <si>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</si>
  <si>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</si>
  <si>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</si>
  <si>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</si>
  <si>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</si>
  <si>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</si>
  <si>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</si>
  <si>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</si>
  <si>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</si>
  <si>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</si>
  <si>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</si>
  <si>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</si>
  <si>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</si>
  <si>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</si>
  <si>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</si>
  <si>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</si>
  <si>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</si>
  <si>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</si>
  <si>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</si>
  <si>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</si>
  <si>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</si>
  <si>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</si>
  <si>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</si>
  <si>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</si>
  <si>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</si>
  <si>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</si>
  <si>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</si>
  <si>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</si>
  <si>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</si>
  <si>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</si>
  <si>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</si>
  <si>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</si>
  <si>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</si>
  <si>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</si>
  <si>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</si>
  <si>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</si>
  <si>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</si>
  <si>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</si>
  <si>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</si>
  <si>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</si>
  <si>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</si>
  <si>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</si>
  <si>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</si>
  <si>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</si>
  <si>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</si>
  <si>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</si>
  <si>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</si>
  <si>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</si>
  <si>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</si>
  <si>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</si>
  <si>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</si>
  <si>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</si>
  <si>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</si>
  <si>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</si>
  <si>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</si>
  <si>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</si>
  <si>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</si>
  <si>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</si>
  <si>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</si>
  <si>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</si>
  <si>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</si>
  <si>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</si>
  <si>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</si>
  <si>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</si>
  <si>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</si>
  <si>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</si>
  <si>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</si>
  <si>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</si>
  <si>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</si>
  <si>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</si>
  <si>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</si>
  <si>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</si>
  <si>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</si>
  <si>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</si>
  <si>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</si>
  <si>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</si>
  <si>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</si>
  <si>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</si>
  <si>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</si>
  <si>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</si>
  <si>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</si>
  <si>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</si>
  <si>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</si>
  <si>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</si>
  <si>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</si>
  <si>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</si>
  <si>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</si>
  <si>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</si>
  <si>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</si>
  <si>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</si>
  <si>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</si>
  <si>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</si>
  <si>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</si>
  <si>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</si>
  <si>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</si>
  <si>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</si>
  <si>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</si>
  <si>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</si>
  <si>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</si>
  <si>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</si>
  <si>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</si>
  <si>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</si>
  <si>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</si>
  <si>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</si>
  <si>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</si>
  <si>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</si>
  <si>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</si>
  <si>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</si>
  <si>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</si>
  <si>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</si>
  <si>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</si>
  <si>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</si>
  <si>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</si>
  <si>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</si>
  <si>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</si>
  <si>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</si>
  <si>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</si>
  <si>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</si>
  <si>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</si>
  <si>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</si>
  <si>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</si>
  <si>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</si>
  <si>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</si>
  <si>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</si>
  <si>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</si>
  <si>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</si>
  <si>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</si>
  <si>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</si>
  <si>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</si>
  <si>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</si>
  <si>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</si>
  <si>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</si>
  <si>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</si>
  <si>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</si>
  <si>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</si>
  <si>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</si>
  <si>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</si>
  <si>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</si>
  <si>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</si>
  <si>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</si>
  <si>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</si>
  <si>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</si>
  <si>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</si>
  <si>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</si>
  <si>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</si>
  <si>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</si>
  <si>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</si>
  <si>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</si>
  <si>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</si>
  <si>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</si>
  <si>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</si>
  <si>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</si>
  <si>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</si>
  <si>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</si>
  <si>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</si>
  <si>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</si>
  <si>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</si>
  <si>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</si>
  <si>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</si>
  <si>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</si>
  <si>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</si>
  <si>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</si>
  <si>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</si>
  <si>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</si>
  <si>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</si>
  <si>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</si>
  <si>
    <t xml:space="preserve">La Universidad de Oriente (UDO) crea la cátedra Faja Petrolífera del Orinoco impulsada por la Sociedad Franco- Venezolana de Ingenieros y Científicos (DEVIC) y el Centro Latinoamericano y Caribeño de Estudios Energéticos y Ambientales (CELCEA) afiliado bajo un convenio de cooperación académica con la Universidad Latinoamericana del Caribe (ULAC). </t>
  </si>
  <si>
    <t>Jhonny Márquez y Mario Zambrano Guichane</t>
  </si>
  <si>
    <t>Información enviada a Notas de Geología de Venezuela por el profesor Mario Zambrano Guichane</t>
  </si>
  <si>
    <t xml:space="preserve">Fresh Water Diatoms. </t>
  </si>
  <si>
    <t xml:space="preserve">J. Platt Bradbury </t>
  </si>
  <si>
    <t>Curso de Micropaleontología Aplicada, Universidad Nacional Autónoma de México, Instituto de Geología, Octubre 6 a 26, 1980.</t>
  </si>
  <si>
    <t xml:space="preserve">Jean François Stephan </t>
  </si>
  <si>
    <t>V Congreso Geológico Venezolano, Caracas, 19 al 23 de Noviembre de 1977</t>
  </si>
  <si>
    <t xml:space="preserve">Guía de la Excursión Geológica a la Isla de Margarita. </t>
  </si>
  <si>
    <t>Excursión geológica auspiciada por la Sociedad Venezolana de Geólogos, realizada del 8 al 10 de Abril de 1983</t>
  </si>
  <si>
    <t>Bellizzia, A.; Muñoz, N. G.; Macsotay, O.; Key, C.</t>
  </si>
  <si>
    <t xml:space="preserve">El contacto cadena Caribe – Andes Merideños entre Carora y El Tocuyo, estado Lara: Observaciones sobre el estilo y la edad de las deformaciones Cenozoicas en el occidente venezolano. </t>
  </si>
  <si>
    <t xml:space="preserve">Dinoflagelados de la región nor-oriental de Venezuela. </t>
  </si>
  <si>
    <t xml:space="preserve">Amelia La Barbera Sánchez </t>
  </si>
  <si>
    <t>FONAIAP. Fondo Nacional de Investigaciones Agropecuarias, Cumaná, estado Sucre, Venezuela, 1991</t>
  </si>
  <si>
    <t xml:space="preserve">Carbonate depositional styles controlled by siliciclastic influx and relative sea level changes, Lower Cretaceous, central Lake Maracaibo, Venezuela. </t>
  </si>
  <si>
    <t xml:space="preserve">Izaskun Azpiritxaga </t>
  </si>
  <si>
    <t>Thesis presented to the Faculty of the Graduate School of the University of Texas at Austin. In partial fulfillment of the requirements for the degree of Master of Arts, 1991</t>
  </si>
  <si>
    <t xml:space="preserve">Area bajo régimen de administración especial. Guatopo resguarda la selva húmeda tropical venezolana </t>
  </si>
  <si>
    <t>Carta Ecológica de Lagoven S.A., Número 48, Mayo – Junio, 1989</t>
  </si>
  <si>
    <t>https://mariantoc.github.io/stratigraphy.html#PlatJ1980</t>
  </si>
  <si>
    <t>https://mariantoc.github.io/biography.html#MarquezJZambranoM2026</t>
  </si>
  <si>
    <t>https://mariantoc.github.io/structural.html#StephanJF1977</t>
  </si>
  <si>
    <t>https://mariantoc.github.io/excursions.html#BelliziaAetal1983</t>
  </si>
  <si>
    <t>https://mariantoc.github.io/stratigraphy.html#LaBarberaA1991</t>
  </si>
  <si>
    <t>https://mariantoc.github.io/stratigraphy.html#AzpiritxagaI1991</t>
  </si>
  <si>
    <t>https://mariantoc.github.io/ecology.html#Guatopo1989</t>
  </si>
  <si>
    <t xml:space="preserve">Planktonic Foraminifera. </t>
  </si>
  <si>
    <t>Curso de Micropaleontología Aplicada, Universidad Nacional Autónoma de México, Instituto de Geología, Octubre 6 a 26, 1982</t>
  </si>
  <si>
    <t xml:space="preserve">Guidebook to de geology of Machiques highway and Rio Negro, Distrito Perija, Zulia State, Venezuela. </t>
  </si>
  <si>
    <t>John B. Miller</t>
  </si>
  <si>
    <t>Sociedad Geológica de Venezuela Occidental, fieldtrip, April 11 and 12, 1959</t>
  </si>
  <si>
    <t>En peligro el pulmón vegetal del mundo.</t>
  </si>
  <si>
    <t>Carta Ecológica Lagoven S.A., Número 50, Septiembre – Octubre, 1989</t>
  </si>
  <si>
    <t xml:space="preserve">Flora Emblemática de Venezuela. </t>
  </si>
  <si>
    <t>Jesús Hoyos</t>
  </si>
  <si>
    <t>Publicación de Petróleos de Venezuela, Caracas, Venezuela, 30 de noviembre de 1985</t>
  </si>
  <si>
    <t>Revised seismic history of the El Pilar fault, northeastern Venezuela, from the Cariaco 1997 earthquake and recent preliminary paleoseismic results.</t>
  </si>
  <si>
    <t>Franck Audemard</t>
  </si>
  <si>
    <t>Journal of Seismology: 11, pp. 311–326, 2007</t>
  </si>
  <si>
    <t>The Orinoco Oil Belt, Venezuela.</t>
  </si>
  <si>
    <t>Journal of Petroleum Geology, Vol. 10, No. 2, pp. 125 – 134, 1987</t>
  </si>
  <si>
    <t>Interpretación integrada de anomalías gravimétricas y magnéticas a partir de datos satelitales en el Escudo de Guayana: estados Bolívar y Amazonas.</t>
  </si>
  <si>
    <t>Inírida Rodríguez Millán</t>
  </si>
  <si>
    <t>Boletín de la Academia Nacional de la Ingeniería y el Hábitat, Número 68, pp. 23 – 29, Julio – Septiembre, 2025, Caracas, Venezuela</t>
  </si>
  <si>
    <t>https://mariantoc.github.io/stratigraphy.html#BolliH1982</t>
  </si>
  <si>
    <t>https://mariantoc.github.io/excursions.html#MillerJB1959</t>
  </si>
  <si>
    <t>https://mariantoc.github.io/ecology.html#LezamaF1989</t>
  </si>
  <si>
    <t>https://mariantoc.github.io/ecology.html#Hoyos1985</t>
  </si>
  <si>
    <t>https://mariantoc.github.io/structural.html#AudemardF2007</t>
  </si>
  <si>
    <t>https://mariantoc.github.io/fields.html#MartinezAR1987</t>
  </si>
  <si>
    <t>https://mariantoc.github.io/geophysics.html#RodriguezI2025</t>
  </si>
  <si>
    <t>Ruth Agnes Robertson Marietta (mayo 24, 1905 – febrero 17, 1998). El legado de una fotoperiodista estadounidense en Venezuela.</t>
  </si>
  <si>
    <t>Pozo OG-1 (Oficina1): El pozo que cambio la historia de la Cuenca Oriental de Venezuela.</t>
  </si>
  <si>
    <t>Jesús S. Porras y Hernán R. Meneses C.</t>
  </si>
  <si>
    <t>MAYA. Revista de Geociencias, septiembre 2026</t>
  </si>
  <si>
    <t>MAYA, Revista de Geociencias, septiembre 2026</t>
  </si>
  <si>
    <t>Excursión geológica – minera a la región de Bailadores – Guaraque, Distrito Rivas Dávila, Estado Mérida, Venezuela.</t>
  </si>
  <si>
    <t>Moya, E.; Sifontes, R. S.; García, D. E.</t>
  </si>
  <si>
    <t>Memoria del Segundo Congreso Latinoamericano de Geología, Caracas, Venezuela. 11 al 16 de Noviembre de 1973, Tomo I</t>
  </si>
  <si>
    <t xml:space="preserve">Introducción a los foraminíferos bentónicos. </t>
  </si>
  <si>
    <t>Barun K. Sen Gupta</t>
  </si>
  <si>
    <t xml:space="preserve">Lower Cretaceous Palynostratigraphy, organic sedimentology and evolution of the Maracaibo Basin, western Venezuela. </t>
  </si>
  <si>
    <t>Omar Colmenares</t>
  </si>
  <si>
    <t>A thesis submitted in the conformity with the requirements for the Degree of Doctor of Philosophy Department of Geology in the University of Toronto, Canada, 1994</t>
  </si>
  <si>
    <t xml:space="preserve">Un tesoro natural llamado Paria. </t>
  </si>
  <si>
    <t>Juan Carlos Jacome</t>
  </si>
  <si>
    <t>Carta Ecológica de Lagoven S.A., Número 43, Julio – Agosto, 1988</t>
  </si>
  <si>
    <t>Incorporación de la ingeniera Inírida Rodríguez Millán como Miembro Correspondiente Nacional ANIH por el estado Anzoátegui.</t>
  </si>
  <si>
    <t>Academia Nacional de la Ingeniería y el Hábitat, 2025</t>
  </si>
  <si>
    <t>https://mariantoc.github.io/biography.html#CastroM2026e</t>
  </si>
  <si>
    <t>https://mariantoc.github.io/fields.html#PorrasJSMenesesHR2026</t>
  </si>
  <si>
    <t>https://mariantoc.github.io/excursions.html#MoyaEetal1973</t>
  </si>
  <si>
    <t>https://mariantoc.github.io/stratigraphy.html#Sen-GuptaBJ1980</t>
  </si>
  <si>
    <t>https://mariantoc.github.io/stratigraphy.html#ColmenaresO1994</t>
  </si>
  <si>
    <t>https://mariantoc.github.io/ecology.html#JacomeJC1988</t>
  </si>
  <si>
    <t>https://mariantoc.github.io/biography.html#RodriguezI2025</t>
  </si>
  <si>
    <t xml:space="preserve">Biostratigraphy. </t>
  </si>
  <si>
    <t>J. Wyatt Durham</t>
  </si>
  <si>
    <t xml:space="preserve">A field guide to Cretaceous facies and sequence stratigraphy of northeastern Venezuela. </t>
  </si>
  <si>
    <t>Kauffman E. G.; Johson, C. C.; Villamil, T.</t>
  </si>
  <si>
    <t>Prepared for INTEVEP, 1994</t>
  </si>
  <si>
    <t>Geologic structure of a part of the Barinas Mountain Front, Venezuelan Andes.</t>
  </si>
  <si>
    <t>Geological Society of America, Bulletin, March 1969</t>
  </si>
  <si>
    <t>Sobre la existencia de sedimentos marinos no metamorfizados del Neocomiense en el noreste del estado Guárico, Venezuela septentrional. Implicaciones paleogeográficas.</t>
  </si>
  <si>
    <t xml:space="preserve">Beck, C. M.; Furrer, M. A. </t>
  </si>
  <si>
    <t>V Congreso Geológico Venezolano, Caracas, Noviembre 1977</t>
  </si>
  <si>
    <t>Imagen y huella de Clemente González de Juana.</t>
  </si>
  <si>
    <t>Publicación de Intevep S.A. Centro de Investigación y Apoyo Tecnológico de Petróleos de Venezuela, Caracas, 1990</t>
  </si>
  <si>
    <t>Aplicaciones de los métodos sísmicos en la exploración del carbón.</t>
  </si>
  <si>
    <t>José Regueiro</t>
  </si>
  <si>
    <t>Memorias de las Primeras Jornadas Geológicas de CarboZulia, Carbones del Zulia C.A., Maracaibo, 1983</t>
  </si>
  <si>
    <t xml:space="preserve">Parque Nacional Aguaro – Guariquito. Importante refugio para la fauna llanera. </t>
  </si>
  <si>
    <t>Elvira Sanz</t>
  </si>
  <si>
    <t>Carta Ecológica Lagoven S.A., Número 65, Octubre – Diciembre, 1990</t>
  </si>
  <si>
    <t>https://mariantoc.github.io/stratigraphy.html#DurhamJW1982</t>
  </si>
  <si>
    <t>https://mariantoc.github.io/excursions.html#KauffmanEetal1994</t>
  </si>
  <si>
    <t>https://mariantoc.github.io/structural.html#SchubertC1969</t>
  </si>
  <si>
    <t>https://mariantoc.github.io/stratigraphy.html#BeckCMFurrerMA1977</t>
  </si>
  <si>
    <t>https://mariantoc.github.io/biography.html#MartinezA1990</t>
  </si>
  <si>
    <t>https://mariantoc.github.io/geophysics.html#RegueiroJ1983</t>
  </si>
  <si>
    <t>https://mariantoc.github.io/ecology.html#SanzE1990</t>
  </si>
  <si>
    <t>Notes on Post - Paleozoic Ostracoda.</t>
  </si>
  <si>
    <t xml:space="preserve">F. P. C. M. Morkhoven </t>
  </si>
  <si>
    <t xml:space="preserve">Materias primas en relación con la industria del hierro en Venezuela. </t>
  </si>
  <si>
    <t>Cecilia Martín de Bellizzia y Alirio Bellizzia</t>
  </si>
  <si>
    <t>Boletín de Geología, Ministerio de Energía y Minas, Dirección de Geología, Vo. III, No. 7, Enero – Julio, 1953</t>
  </si>
  <si>
    <t xml:space="preserve">Evidencias históricas de actividad sismotectónica y manifestaciones de inestabilidad geológica en el Alto de Pedernales, entre Venezuela y Trinidad. </t>
  </si>
  <si>
    <t>José Antonio Rodríguez; Franck Audemard; André Singer; Carlos Beltrán</t>
  </si>
  <si>
    <t>3rd. Geological Conference of the Geological Society of Trinidad and Tobago, 1995</t>
  </si>
  <si>
    <t>Gestión de la información post-sísmica del 24 de junio de 2026 en Venezuela.</t>
  </si>
  <si>
    <t>MAYA. Revista de Geociencias, Septiembre 2026</t>
  </si>
  <si>
    <t xml:space="preserve">Studies on Cretaceous acid- insoluble microfossils in western Venezuela. </t>
  </si>
  <si>
    <t>John W. Funkhouser</t>
  </si>
  <si>
    <t>Creole Petroleum Corporation, 1960</t>
  </si>
  <si>
    <t xml:space="preserve">Venezuela y la nueva tectónica global. </t>
  </si>
  <si>
    <t>Acta Científica Venezolana, Número 21, pp. 13 – 16, 1970</t>
  </si>
  <si>
    <t>Geological synthesis of the Orinoco Oil Belt, eastern Venezuela.</t>
  </si>
  <si>
    <t>Andreína Isea</t>
  </si>
  <si>
    <t>Journal of Petroleum Geology, Vol. 10, No. 2, pp. 135 – 148, 1987</t>
  </si>
  <si>
    <t>https://mariantoc.github.io/stratigraphy.html#MorkhovenFPCM1982</t>
  </si>
  <si>
    <t>https://mariantoc.github.io/minerals.html#MartinCABellizia1953</t>
  </si>
  <si>
    <t>https://mariantoc.github.io/structural.html#RodriguezJAetal1995</t>
  </si>
  <si>
    <t>https://mariantoc.github.io/biography.html#RodriguezJA2026c</t>
  </si>
  <si>
    <t>https://mariantoc.github.io/stratigraphy.html#FunkhouserJW1960</t>
  </si>
  <si>
    <t>https://mariantoc.github.io/structural.html#Schubert,C1970</t>
  </si>
  <si>
    <t>https://mariantoc.github.io/fields.html#IseaA1987</t>
  </si>
  <si>
    <t>Descubriendo el Maravilloso Universo de las Ciencias de la Tierra.</t>
  </si>
  <si>
    <t>Charla introducción a la asignatura Bioestratigrafía, 1998</t>
  </si>
  <si>
    <t xml:space="preserve">Técnicas para la recolección, preparación y estudio de icnofósiles continentales. </t>
  </si>
  <si>
    <t>José H. Laza</t>
  </si>
  <si>
    <t>Revista del Museo de La Plata, Volumen 9, Número 2, pp. 177 – 211, 2024</t>
  </si>
  <si>
    <t xml:space="preserve">Breve novedad para el estudio del terremoto de 1900 en Caracas, Coll y Unamuno. </t>
  </si>
  <si>
    <t xml:space="preserve">La geología en el deporte: Materiales, superficies y entorno natural. </t>
  </si>
  <si>
    <t xml:space="preserve">Sismos del 2025 en la Costa Oriental del Lago de Maracaibo: Análisis de la secuencia sísmica, vulnerabilidad de las edificaciones educativas y guía esencial de prevención. </t>
  </si>
  <si>
    <t>Boletín de la Academia Nacional de la Ingeniería y el Hábitat, Número 69, Octubre – Diciembre, 2025, Caracas, Venezuela</t>
  </si>
  <si>
    <t xml:space="preserve">Bibliografía de artículos concernientes a Venezuela, Colombia y Trinidad publicados en los Boletines de la AAPG entre 1922 y 1958. </t>
  </si>
  <si>
    <t>Douglas J.</t>
  </si>
  <si>
    <t>Boletín Informativo de la Asociación Venezolana de Geología, Minería y Petróleo, Volumen 1, Número 3, Septiembre 1958</t>
  </si>
  <si>
    <t>Informe geológico sobre la región carbonífera de los estados Aragua y Guárico.</t>
  </si>
  <si>
    <t xml:space="preserve">Pérez Mena, R. L.; Von Der Osten, E. </t>
  </si>
  <si>
    <t>Ministerio de Minas e Hidrocarburos, Dirección de Geología, Boletín de Geología, Volumen III, Número 7, Enero – Julio, 1953</t>
  </si>
  <si>
    <t>https://mariantoc.github.io/stratigraphy.html#CastroM1998a</t>
  </si>
  <si>
    <t>https://mariantoc.github.io/stratigraphy.html#LazaJH2024</t>
  </si>
  <si>
    <t>https://mariantoc.github.io/biography.html#RodriguezJA2026d</t>
  </si>
  <si>
    <t>https://mariantoc.github.io/topics.html#PorrasJS2026</t>
  </si>
  <si>
    <t>https://mariantoc.github.io/biography.html#MarinoiN2025</t>
  </si>
  <si>
    <t>https://mariantoc.github.io/biography.html#DouglasJ1958</t>
  </si>
  <si>
    <t>https://mariantoc.github.io/minerals.html#PerezRVonderOstenE1953</t>
  </si>
  <si>
    <t xml:space="preserve">Patrón estructural de las vetas y zonas de cizalla auríferas del Distrito Minero Las Claritas, kilómetro 88, estado Bolívar, Venezuela. </t>
  </si>
  <si>
    <t xml:space="preserve">Moreno A., C. C.; Quintero F., K. L.; Gallardo, E. </t>
  </si>
  <si>
    <t>Boletín de Geología, Volumen XXI, Número 34, Instituto Nacional de Geología y Minería (INGEOMIN), 2015</t>
  </si>
  <si>
    <t xml:space="preserve">Descubriendo el potencial no convencional de la Formación La Luna en Venezuela. Lecciones del desarrollo sale de Estados Unidos y Argentina para Venezuela. </t>
  </si>
  <si>
    <t>Jesús S. Porras, 2026</t>
  </si>
  <si>
    <t>Petroleum. Septiembre 28, 2026</t>
  </si>
  <si>
    <t xml:space="preserve">GEOS. Revista Venezolana de Ciencias de La Tierra. Indice general de los números 1 (1959, primer ejemplar publicado) al 47 (2015, último ejemplar publicado). </t>
  </si>
  <si>
    <t>Listado preparado por el profesor Dr. Franco Urbani Patat, Agosto 2017</t>
  </si>
  <si>
    <t>Principales grupos fósiles. Introducción.</t>
  </si>
  <si>
    <t xml:space="preserve">Depósitos de bauxitas en el Escudo de Guayana, Venezuela. Potencialidades y ventajas comparativas. </t>
  </si>
  <si>
    <t xml:space="preserve">Vicente Mendoza; Antonio Bronjanigo; Allan Reyes y Héctor A. Márquez S. </t>
  </si>
  <si>
    <t>Maya. Revista de Geociencias, Suplemento Especial, Abril 2026, pp. 64 -81</t>
  </si>
  <si>
    <t xml:space="preserve">Selected isotopic age determinations on Trans-Amazonian granitoids. </t>
  </si>
  <si>
    <t>In: The geology of the Guiana Shield. A. K. Gibbs and C. N. Barrow, Oxford Monographs on geology and geophysics, No. 22, 1993</t>
  </si>
  <si>
    <t>La Universidad de Oriente (UDO) crea la cátedra “Faja Petrolífera del Orinoco” en Venezuela.</t>
  </si>
  <si>
    <t>Energy Magazine. Energía que conecta el mañana, Agosto – Septiembre, 2026. Edición Especial</t>
  </si>
  <si>
    <t>https://mariantoc.github.io/minerals.html#MorenoACCetal2015</t>
  </si>
  <si>
    <t>https://mariantoc.github.io/fields.html#PorrasJS2026a</t>
  </si>
  <si>
    <t>https://mariantoc.github.io/biography.html#UrbaniF2017</t>
  </si>
  <si>
    <t>https://mariantoc.github.io/stratigraphy.html#CastroM1998b</t>
  </si>
  <si>
    <t>https://mariantoc.github.io/minerals.html#MendozaVetal2026</t>
  </si>
  <si>
    <t>https://mariantoc.github.io/igneous.html#AgeGranitoides1993</t>
  </si>
  <si>
    <t>https://mariantoc.github.io/biography.html#UDO2026</t>
  </si>
  <si>
    <t xml:space="preserve">Ciencia a golpe de machete. </t>
  </si>
  <si>
    <t>Petroleum, Octubre 6, 2026</t>
  </si>
  <si>
    <t xml:space="preserve">La historia de nuestro planeta esta representada por su registro fósil. </t>
  </si>
  <si>
    <t>Charla asignatura Bioestratigrafía, 1997</t>
  </si>
  <si>
    <t>Nueva interpretación paleogeográfica del Eoceno de Barinas.</t>
  </si>
  <si>
    <t>Mounir Mamohoudi; Luisa Figueroa; Clara Guerra; Zorena Monroy</t>
  </si>
  <si>
    <t>República de Venezuela, Ministerio de Energía y Minas, Dirección General Sectorial de Servigeomin, Volumen XVIII, Número 31, Septiembre 1997</t>
  </si>
  <si>
    <t xml:space="preserve">Taller de núcleos (Core Workshop). Arena “I”, Formación Escandalosa, Formación Gobernador, Formación La Luna, Formación Paují, Formación Misoa, Formación Naricual. </t>
  </si>
  <si>
    <t>Jean Yves Chatellier y Rosa Aquino</t>
  </si>
  <si>
    <t>VIII Congreso Geológico Venezolano. I Congreso Latinoamericano de Sedimentología, Edición Especial de la Sociedad Venezolana de Geólogos, Noviembre 20,1977</t>
  </si>
  <si>
    <t>Alternativa de la minería a cielo abierto en Guasare.</t>
  </si>
  <si>
    <t>Santiago Díaz</t>
  </si>
  <si>
    <t>Memorias I Jornadas Geológicas CarboZulia. Carbones del Zulia C.A., Maracaibo, 1983</t>
  </si>
  <si>
    <t>Excursión Número 4. Sistema Montañoso del Caribe.</t>
  </si>
  <si>
    <t>Luis González Silva. Guías:  Bellizzia, A.; Menéndez, A.; Picard, X; González Silva. L. A.</t>
  </si>
  <si>
    <t>Memoria Segundo Congreso Latinoamericano de Geología, Caracas, Venezuela. 11 al 16 de Noviembre de 1973. Tomo I.</t>
  </si>
  <si>
    <t xml:space="preserve">Cueva Alfredo Jahn. </t>
  </si>
  <si>
    <t>Roberto E. Contreras y Bertha Contreras Boyer</t>
  </si>
  <si>
    <t>Boletín Informativo de la Sociedad Venezolana de Geólogos, Filial Zulia, Número 8, Maracaibo, Febrero 1988</t>
  </si>
  <si>
    <t>https://mariantoc.github.io/biography.html#LorenteMA2026</t>
  </si>
  <si>
    <t>https://mariantoc.github.io/stratigraphy.html#CastroM1997</t>
  </si>
  <si>
    <t>https://mariantoc.github.io/stratigraphy.html#MounirMetal1997</t>
  </si>
  <si>
    <t>https://mariantoc.github.io/stratigraphy.html#ChatellierJYAquinoR1977</t>
  </si>
  <si>
    <t>https://mariantoc.github.io/minerals.html#DiazS1983</t>
  </si>
  <si>
    <t>https://mariantoc.github.io/excursions.html#GonzalezLetal1973</t>
  </si>
  <si>
    <t>https://mariantoc.github.io/speleology.html#ContrerasREContrerasB1988</t>
  </si>
  <si>
    <t xml:space="preserve">Notes on the shifting course of the ancient Rio Orinoco from Late Cretaceous to Oligocene time. </t>
  </si>
  <si>
    <t>GEOS, Número 81, pp. 30 – 31, 1981</t>
  </si>
  <si>
    <t xml:space="preserve">Isla de Aves: Equilibrio entre subsidencia, aumento del nivel del mar, acreción y progradación. </t>
  </si>
  <si>
    <t>Boletín de Geología, Volumen XXI, Número 34, Instituto Nacional de Geología y Minería, 2015</t>
  </si>
  <si>
    <t xml:space="preserve">Estratigrafía. </t>
  </si>
  <si>
    <t>Clases de Bioestratigrafía, 1997</t>
  </si>
  <si>
    <t xml:space="preserve">Revisión estratigráfica de la Cuenca de Venezuela oriental. </t>
  </si>
  <si>
    <t>VI Congreso Geológico Venezolano, 29 de Septiembre a 6 de Octubre de 1985</t>
  </si>
  <si>
    <t xml:space="preserve">Microfacies del Cretácico de Venezuela occidental. </t>
  </si>
  <si>
    <t>A. Ford y J. J. H. C. Houbolt</t>
  </si>
  <si>
    <t>International Sedimentary Petrographical Series. Edited by J. Cuvillier and HME Schűrmann, Volume VI, Leiden, 1963</t>
  </si>
  <si>
    <t xml:space="preserve">New oil discoveries in the Ceuta Area, S. E. Lake Maracaibo, Venezuela. </t>
  </si>
  <si>
    <t>From Brooks, J. editor, 1990. Classic Petroleum Provinces, Geological Society, Special Publication, No. 50, pp. 77 – 88</t>
  </si>
  <si>
    <t>M. Roberto; E. Mompart; E. Puche; F. Scherer</t>
  </si>
  <si>
    <t>Energía en el futuro.</t>
  </si>
  <si>
    <t>Gonzalo J. Morales</t>
  </si>
  <si>
    <t>Boletín de la Academia Nacional de la Ingeniería y el Habitat, Nűmero 68, Julio – Septiembre, 2025, pp. 23 – 29, Caracas, Venezuela</t>
  </si>
  <si>
    <t>https://mariantoc.github.io/stratigraphy.html#RodE1981</t>
  </si>
  <si>
    <t>https://mariantoc.github.io/stratigraphy.html#MendezJ2015</t>
  </si>
  <si>
    <t>https://mariantoc.github.io/stratigraphy.html#CastroM1997a</t>
  </si>
  <si>
    <t>https://mariantoc.github.io/stratigraphy.html#ArnsteyRetal1985</t>
  </si>
  <si>
    <t>https://mariantoc.github.io/stratigraphy.html#FordAHouboldtJJHC1963</t>
  </si>
  <si>
    <t>https://mariantoc.github.io/fields.html#RobertoMetal1990</t>
  </si>
  <si>
    <t>https://mariantoc.github.io/ecology.html#MoralesGJ2025</t>
  </si>
  <si>
    <t xml:space="preserve">Evolución sedimentológica del abanico aluvial de Caraballeda, estado Vargas, Venezuela. </t>
  </si>
  <si>
    <t>Edgar Chacín Benedetto y Amarilis Esteves Albarrán</t>
  </si>
  <si>
    <t>PetroRenova (Indexed). Revista Científica de la Energía, Volumen 2, Número 4, 2026</t>
  </si>
  <si>
    <t xml:space="preserve">Reconstrucción del sector hidrocarburos en Venezuela. Viabilidad, Inversión y Confiabilidad. </t>
  </si>
  <si>
    <t>Jorge García</t>
  </si>
  <si>
    <t xml:space="preserve">Unidades Litoestratigráficas. </t>
  </si>
  <si>
    <t>Charla en las clases de Bioestratigrafía, 1997</t>
  </si>
  <si>
    <t>Excursión Geológica No. 3. Sierra de Perijá.</t>
  </si>
  <si>
    <t>Alejandrino Nogueira</t>
  </si>
  <si>
    <t>Memoria Segundo Congreso Latinoamericano de Geología, Tomo 1. 11 al 16 de Noviembre de 1973, Caracas, Venezuela</t>
  </si>
  <si>
    <t>Revista GEOS, Número 1, Caracas, Venezuela, Enero 1959</t>
  </si>
  <si>
    <t>Parques Nacionales y Monumentos Naturales de Venezuela.</t>
  </si>
  <si>
    <t>Instituto Nacional de Parques. Editado por el Ministerio del Ambiente y de los Recursos Naturales Renovables, Diciembre 1978, Caracas, Venezuela</t>
  </si>
  <si>
    <t>Introducción al estudio de los macroforaminíferos de la familia Orbitolinidae.</t>
  </si>
  <si>
    <t xml:space="preserve">Great Geologists. </t>
  </si>
  <si>
    <t>Mike Simmons</t>
  </si>
  <si>
    <t>Halliburton, United Kingdom, 2018</t>
  </si>
  <si>
    <t>https://mariantoc.github.io/stratigraphy.html#ChacinEEstevesA2026</t>
  </si>
  <si>
    <t>https://mariantoc.github.io/fields.html#GarciaJ2026</t>
  </si>
  <si>
    <t>https://mariantoc.github.io/stratigraphy.html#CastroM1997b</t>
  </si>
  <si>
    <t>https://mariantoc.github.io/excursions.html#NogueiraA1973</t>
  </si>
  <si>
    <t>https://mariantoc.github.io/stratigraphy.html#CharltonF1959</t>
  </si>
  <si>
    <t>https://mariantoc.github.io/ecology.html#Inparques1978</t>
  </si>
  <si>
    <t>https://mariantoc.github.io/biography.html#SimmonsM2018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</si>
</sst>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435"/>
  <sheetViews>
    <sheetView tabSelected="1" topLeftCell="A1391" zoomScaleNormal="100" workbookViewId="0">
      <selection activeCell="A1401" sqref="A1401"/>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45" si="41">HYPERLINK(F1281)</f>
        <v>https://mariantoc.github.io/minerals.html#Ayalaetal2010</v>
      </c>
    </row>
    <row r="1282" spans="1:7" x14ac:dyDescent="0.3">
      <c r="A1282">
        <f t="shared" ref="A1282:A134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A1338">
        <f t="shared" si="42"/>
        <v>1337</v>
      </c>
      <c r="B1338" t="s">
        <v>4905</v>
      </c>
      <c r="C1338" t="s">
        <v>4906</v>
      </c>
      <c r="D1338">
        <v>2026</v>
      </c>
      <c r="E1338" t="s">
        <v>4907</v>
      </c>
      <c r="F1338" t="s">
        <v>4926</v>
      </c>
      <c r="G1338" s="1" t="str">
        <f t="shared" si="41"/>
        <v>https://mariantoc.github.io/biography.html#MarquezJZambranoM2026</v>
      </c>
    </row>
    <row r="1339" spans="1:7" x14ac:dyDescent="0.3">
      <c r="A1339">
        <f t="shared" si="42"/>
        <v>1338</v>
      </c>
      <c r="B1339" t="s">
        <v>4908</v>
      </c>
      <c r="C1339" t="s">
        <v>4909</v>
      </c>
      <c r="D1339">
        <v>1980</v>
      </c>
      <c r="E1339" t="s">
        <v>4910</v>
      </c>
      <c r="F1339" t="s">
        <v>4925</v>
      </c>
      <c r="G1339" s="1" t="str">
        <f t="shared" si="41"/>
        <v>https://mariantoc.github.io/stratigraphy.html#PlatJ1980</v>
      </c>
    </row>
    <row r="1340" spans="1:7" x14ac:dyDescent="0.3">
      <c r="A1340">
        <f t="shared" si="42"/>
        <v>1339</v>
      </c>
      <c r="B1340" t="s">
        <v>4916</v>
      </c>
      <c r="C1340" t="s">
        <v>4911</v>
      </c>
      <c r="D1340">
        <v>1977</v>
      </c>
      <c r="E1340" t="s">
        <v>4912</v>
      </c>
      <c r="F1340" t="s">
        <v>4927</v>
      </c>
      <c r="G1340" s="1" t="str">
        <f t="shared" si="41"/>
        <v>https://mariantoc.github.io/structural.html#StephanJF1977</v>
      </c>
    </row>
    <row r="1341" spans="1:7" x14ac:dyDescent="0.3">
      <c r="A1341">
        <f t="shared" si="42"/>
        <v>1340</v>
      </c>
      <c r="B1341" t="s">
        <v>4913</v>
      </c>
      <c r="C1341" t="s">
        <v>4915</v>
      </c>
      <c r="D1341">
        <v>1983</v>
      </c>
      <c r="E1341" t="s">
        <v>4914</v>
      </c>
      <c r="F1341" t="s">
        <v>4928</v>
      </c>
      <c r="G1341" s="1" t="str">
        <f t="shared" si="41"/>
        <v>https://mariantoc.github.io/excursions.html#BelliziaAetal1983</v>
      </c>
    </row>
    <row r="1342" spans="1:7" x14ac:dyDescent="0.3">
      <c r="A1342">
        <f t="shared" si="42"/>
        <v>1341</v>
      </c>
      <c r="B1342" t="s">
        <v>4917</v>
      </c>
      <c r="C1342" t="s">
        <v>4918</v>
      </c>
      <c r="D1342">
        <v>1991</v>
      </c>
      <c r="E1342" t="s">
        <v>4919</v>
      </c>
      <c r="F1342" t="s">
        <v>4929</v>
      </c>
      <c r="G1342" s="1" t="str">
        <f t="shared" si="41"/>
        <v>https://mariantoc.github.io/stratigraphy.html#LaBarberaA1991</v>
      </c>
    </row>
    <row r="1343" spans="1:7" x14ac:dyDescent="0.3">
      <c r="A1343">
        <f t="shared" si="42"/>
        <v>1342</v>
      </c>
      <c r="B1343" t="s">
        <v>4920</v>
      </c>
      <c r="C1343" t="s">
        <v>4921</v>
      </c>
      <c r="D1343">
        <v>1991</v>
      </c>
      <c r="E1343" t="s">
        <v>4922</v>
      </c>
      <c r="F1343" t="s">
        <v>4930</v>
      </c>
      <c r="G1343" s="1" t="str">
        <f t="shared" si="41"/>
        <v>https://mariantoc.github.io/stratigraphy.html#AzpiritxagaI1991</v>
      </c>
    </row>
    <row r="1344" spans="1:7" x14ac:dyDescent="0.3">
      <c r="A1344">
        <f t="shared" si="42"/>
        <v>1343</v>
      </c>
      <c r="B1344" t="s">
        <v>4923</v>
      </c>
      <c r="D1344">
        <v>1989</v>
      </c>
      <c r="E1344" t="s">
        <v>4924</v>
      </c>
      <c r="F1344" t="s">
        <v>4931</v>
      </c>
      <c r="G1344" s="1" t="str">
        <f t="shared" si="41"/>
        <v>https://mariantoc.github.io/ecology.html#Guatopo1989</v>
      </c>
    </row>
    <row r="1345" spans="1:7" x14ac:dyDescent="0.3">
      <c r="A1345">
        <f t="shared" si="42"/>
        <v>1344</v>
      </c>
      <c r="B1345" t="s">
        <v>4932</v>
      </c>
      <c r="C1345" t="s">
        <v>2943</v>
      </c>
      <c r="D1345">
        <v>1982</v>
      </c>
      <c r="E1345" t="s">
        <v>4933</v>
      </c>
      <c r="F1345" t="s">
        <v>4950</v>
      </c>
      <c r="G1345" s="1" t="str">
        <f t="shared" si="41"/>
        <v>https://mariantoc.github.io/stratigraphy.html#BolliH1982</v>
      </c>
    </row>
    <row r="1346" spans="1:7" x14ac:dyDescent="0.3">
      <c r="A1346">
        <f t="shared" ref="A1346:A1407" si="43">A1345+1</f>
        <v>1345</v>
      </c>
      <c r="B1346" t="s">
        <v>4934</v>
      </c>
      <c r="C1346" t="s">
        <v>4935</v>
      </c>
      <c r="D1346">
        <v>1959</v>
      </c>
      <c r="E1346" t="s">
        <v>4936</v>
      </c>
      <c r="F1346" t="s">
        <v>4951</v>
      </c>
      <c r="G1346" s="1" t="str">
        <f t="shared" ref="G1346:G1407" si="44">HYPERLINK(F1346)</f>
        <v>https://mariantoc.github.io/excursions.html#MillerJB1959</v>
      </c>
    </row>
    <row r="1347" spans="1:7" x14ac:dyDescent="0.3">
      <c r="A1347">
        <f t="shared" si="43"/>
        <v>1346</v>
      </c>
      <c r="B1347" t="s">
        <v>4937</v>
      </c>
      <c r="C1347" t="s">
        <v>2967</v>
      </c>
      <c r="D1347">
        <v>1989</v>
      </c>
      <c r="E1347" t="s">
        <v>4938</v>
      </c>
      <c r="F1347" t="s">
        <v>4952</v>
      </c>
      <c r="G1347" s="1" t="str">
        <f t="shared" si="44"/>
        <v>https://mariantoc.github.io/ecology.html#LezamaF1989</v>
      </c>
    </row>
    <row r="1348" spans="1:7" x14ac:dyDescent="0.3">
      <c r="A1348">
        <f t="shared" si="43"/>
        <v>1347</v>
      </c>
      <c r="B1348" t="s">
        <v>4939</v>
      </c>
      <c r="C1348" t="s">
        <v>4940</v>
      </c>
      <c r="D1348">
        <v>1985</v>
      </c>
      <c r="E1348" t="s">
        <v>4941</v>
      </c>
      <c r="F1348" t="s">
        <v>4953</v>
      </c>
      <c r="G1348" s="1" t="str">
        <f t="shared" si="44"/>
        <v>https://mariantoc.github.io/ecology.html#Hoyos1985</v>
      </c>
    </row>
    <row r="1349" spans="1:7" x14ac:dyDescent="0.3">
      <c r="A1349">
        <f t="shared" si="43"/>
        <v>1348</v>
      </c>
      <c r="B1349" t="s">
        <v>4942</v>
      </c>
      <c r="C1349" t="s">
        <v>4943</v>
      </c>
      <c r="D1349">
        <v>1997</v>
      </c>
      <c r="E1349" t="s">
        <v>4944</v>
      </c>
      <c r="F1349" t="s">
        <v>4954</v>
      </c>
      <c r="G1349" s="1" t="str">
        <f t="shared" si="44"/>
        <v>https://mariantoc.github.io/structural.html#AudemardF2007</v>
      </c>
    </row>
    <row r="1350" spans="1:7" x14ac:dyDescent="0.3">
      <c r="A1350">
        <f t="shared" si="43"/>
        <v>1349</v>
      </c>
      <c r="B1350" t="s">
        <v>4945</v>
      </c>
      <c r="C1350" t="s">
        <v>1429</v>
      </c>
      <c r="D1350">
        <v>1987</v>
      </c>
      <c r="E1350" t="s">
        <v>4946</v>
      </c>
      <c r="F1350" t="s">
        <v>4955</v>
      </c>
      <c r="G1350" s="1" t="str">
        <f t="shared" si="44"/>
        <v>https://mariantoc.github.io/fields.html#MartinezAR1987</v>
      </c>
    </row>
    <row r="1351" spans="1:7" x14ac:dyDescent="0.3">
      <c r="A1351">
        <f t="shared" si="43"/>
        <v>1350</v>
      </c>
      <c r="B1351" t="s">
        <v>4947</v>
      </c>
      <c r="C1351" t="s">
        <v>4948</v>
      </c>
      <c r="D1351">
        <v>2025</v>
      </c>
      <c r="E1351" t="s">
        <v>4949</v>
      </c>
      <c r="F1351" t="s">
        <v>4956</v>
      </c>
      <c r="G1351" s="1" t="str">
        <f t="shared" si="44"/>
        <v>https://mariantoc.github.io/geophysics.html#RodriguezI2025</v>
      </c>
    </row>
    <row r="1352" spans="1:7" x14ac:dyDescent="0.3">
      <c r="A1352">
        <f t="shared" si="43"/>
        <v>1351</v>
      </c>
      <c r="B1352" t="s">
        <v>4957</v>
      </c>
      <c r="C1352" t="s">
        <v>18</v>
      </c>
      <c r="D1352">
        <v>2026</v>
      </c>
      <c r="E1352" t="s">
        <v>4960</v>
      </c>
      <c r="F1352" t="s">
        <v>4975</v>
      </c>
      <c r="G1352" s="1" t="str">
        <f t="shared" si="44"/>
        <v>https://mariantoc.github.io/biography.html#CastroM2026e</v>
      </c>
    </row>
    <row r="1353" spans="1:7" x14ac:dyDescent="0.3">
      <c r="A1353">
        <f t="shared" si="43"/>
        <v>1352</v>
      </c>
      <c r="B1353" t="s">
        <v>4958</v>
      </c>
      <c r="C1353" t="s">
        <v>4959</v>
      </c>
      <c r="D1353">
        <v>2026</v>
      </c>
      <c r="E1353" t="s">
        <v>4961</v>
      </c>
      <c r="F1353" t="s">
        <v>4976</v>
      </c>
      <c r="G1353" s="1" t="str">
        <f t="shared" si="44"/>
        <v>https://mariantoc.github.io/fields.html#PorrasJSMenesesHR2026</v>
      </c>
    </row>
    <row r="1354" spans="1:7" x14ac:dyDescent="0.3">
      <c r="A1354">
        <f t="shared" si="43"/>
        <v>1353</v>
      </c>
      <c r="B1354" t="s">
        <v>4962</v>
      </c>
      <c r="C1354" t="s">
        <v>4963</v>
      </c>
      <c r="D1354">
        <v>1973</v>
      </c>
      <c r="E1354" t="s">
        <v>4964</v>
      </c>
      <c r="F1354" t="s">
        <v>4977</v>
      </c>
      <c r="G1354" s="1" t="str">
        <f t="shared" si="44"/>
        <v>https://mariantoc.github.io/excursions.html#MoyaEetal1973</v>
      </c>
    </row>
    <row r="1355" spans="1:7" x14ac:dyDescent="0.3">
      <c r="A1355">
        <f t="shared" si="43"/>
        <v>1354</v>
      </c>
      <c r="B1355" t="s">
        <v>4965</v>
      </c>
      <c r="C1355" t="s">
        <v>4966</v>
      </c>
      <c r="D1355">
        <v>1980</v>
      </c>
      <c r="E1355" t="s">
        <v>4834</v>
      </c>
      <c r="F1355" t="s">
        <v>4978</v>
      </c>
      <c r="G1355" s="1" t="str">
        <f t="shared" si="44"/>
        <v>https://mariantoc.github.io/stratigraphy.html#Sen-GuptaBJ1980</v>
      </c>
    </row>
    <row r="1356" spans="1:7" x14ac:dyDescent="0.3">
      <c r="A1356">
        <f t="shared" si="43"/>
        <v>1355</v>
      </c>
      <c r="B1356" t="s">
        <v>4967</v>
      </c>
      <c r="C1356" t="s">
        <v>4968</v>
      </c>
      <c r="D1356">
        <v>1994</v>
      </c>
      <c r="E1356" t="s">
        <v>4969</v>
      </c>
      <c r="F1356" t="s">
        <v>4979</v>
      </c>
      <c r="G1356" s="1" t="str">
        <f t="shared" si="44"/>
        <v>https://mariantoc.github.io/stratigraphy.html#ColmenaresO1994</v>
      </c>
    </row>
    <row r="1357" spans="1:7" x14ac:dyDescent="0.3">
      <c r="A1357">
        <f t="shared" si="43"/>
        <v>1356</v>
      </c>
      <c r="B1357" t="s">
        <v>4970</v>
      </c>
      <c r="C1357" t="s">
        <v>4971</v>
      </c>
      <c r="D1357">
        <v>1988</v>
      </c>
      <c r="E1357" t="s">
        <v>4972</v>
      </c>
      <c r="F1357" t="s">
        <v>4980</v>
      </c>
      <c r="G1357" s="1" t="str">
        <f t="shared" si="44"/>
        <v>https://mariantoc.github.io/ecology.html#JacomeJC1988</v>
      </c>
    </row>
    <row r="1358" spans="1:7" x14ac:dyDescent="0.3">
      <c r="A1358">
        <f t="shared" si="43"/>
        <v>1357</v>
      </c>
      <c r="B1358" t="s">
        <v>4973</v>
      </c>
      <c r="D1358">
        <v>2025</v>
      </c>
      <c r="E1358" t="s">
        <v>4974</v>
      </c>
      <c r="F1358" t="s">
        <v>4981</v>
      </c>
      <c r="G1358" s="1" t="str">
        <f t="shared" si="44"/>
        <v>https://mariantoc.github.io/biography.html#RodriguezI2025</v>
      </c>
    </row>
    <row r="1359" spans="1:7" x14ac:dyDescent="0.3">
      <c r="A1359">
        <f t="shared" si="43"/>
        <v>1358</v>
      </c>
      <c r="B1359" t="s">
        <v>4982</v>
      </c>
      <c r="C1359" t="s">
        <v>4983</v>
      </c>
      <c r="D1359">
        <v>1982</v>
      </c>
      <c r="E1359" t="s">
        <v>4933</v>
      </c>
      <c r="F1359" t="s">
        <v>5000</v>
      </c>
      <c r="G1359" s="1" t="str">
        <f t="shared" si="44"/>
        <v>https://mariantoc.github.io/stratigraphy.html#DurhamJW1982</v>
      </c>
    </row>
    <row r="1360" spans="1:7" x14ac:dyDescent="0.3">
      <c r="A1360">
        <f t="shared" si="43"/>
        <v>1359</v>
      </c>
      <c r="B1360" t="s">
        <v>4984</v>
      </c>
      <c r="C1360" t="s">
        <v>4985</v>
      </c>
      <c r="D1360">
        <v>1994</v>
      </c>
      <c r="E1360" t="s">
        <v>4986</v>
      </c>
      <c r="F1360" t="s">
        <v>5001</v>
      </c>
      <c r="G1360" s="1" t="str">
        <f t="shared" si="44"/>
        <v>https://mariantoc.github.io/excursions.html#KauffmanEetal1994</v>
      </c>
    </row>
    <row r="1361" spans="1:7" x14ac:dyDescent="0.3">
      <c r="A1361">
        <f t="shared" si="43"/>
        <v>1360</v>
      </c>
      <c r="B1361" t="s">
        <v>4987</v>
      </c>
      <c r="C1361" t="s">
        <v>325</v>
      </c>
      <c r="D1361">
        <v>1969</v>
      </c>
      <c r="E1361" t="s">
        <v>4988</v>
      </c>
      <c r="F1361" t="s">
        <v>5002</v>
      </c>
      <c r="G1361" s="1" t="str">
        <f t="shared" si="44"/>
        <v>https://mariantoc.github.io/structural.html#SchubertC1969</v>
      </c>
    </row>
    <row r="1362" spans="1:7" x14ac:dyDescent="0.3">
      <c r="A1362">
        <f t="shared" si="43"/>
        <v>1361</v>
      </c>
      <c r="B1362" t="s">
        <v>4989</v>
      </c>
      <c r="C1362" t="s">
        <v>4990</v>
      </c>
      <c r="D1362">
        <v>1977</v>
      </c>
      <c r="E1362" t="s">
        <v>4991</v>
      </c>
      <c r="F1362" t="s">
        <v>5003</v>
      </c>
      <c r="G1362" s="1" t="str">
        <f t="shared" si="44"/>
        <v>https://mariantoc.github.io/stratigraphy.html#BeckCMFurrerMA1977</v>
      </c>
    </row>
    <row r="1363" spans="1:7" x14ac:dyDescent="0.3">
      <c r="A1363">
        <f t="shared" si="43"/>
        <v>1362</v>
      </c>
      <c r="B1363" t="s">
        <v>4992</v>
      </c>
      <c r="C1363" t="s">
        <v>1590</v>
      </c>
      <c r="D1363">
        <v>1990</v>
      </c>
      <c r="E1363" t="s">
        <v>4993</v>
      </c>
      <c r="F1363" t="s">
        <v>5004</v>
      </c>
      <c r="G1363" s="1" t="str">
        <f t="shared" si="44"/>
        <v>https://mariantoc.github.io/biography.html#MartinezA1990</v>
      </c>
    </row>
    <row r="1364" spans="1:7" x14ac:dyDescent="0.3">
      <c r="A1364">
        <f t="shared" si="43"/>
        <v>1363</v>
      </c>
      <c r="B1364" t="s">
        <v>4994</v>
      </c>
      <c r="C1364" t="s">
        <v>4995</v>
      </c>
      <c r="D1364">
        <v>1983</v>
      </c>
      <c r="E1364" t="s">
        <v>4996</v>
      </c>
      <c r="F1364" t="s">
        <v>5005</v>
      </c>
      <c r="G1364" s="1" t="str">
        <f t="shared" si="44"/>
        <v>https://mariantoc.github.io/geophysics.html#RegueiroJ1983</v>
      </c>
    </row>
    <row r="1365" spans="1:7" x14ac:dyDescent="0.3">
      <c r="A1365">
        <f t="shared" si="43"/>
        <v>1364</v>
      </c>
      <c r="B1365" t="s">
        <v>4997</v>
      </c>
      <c r="C1365" t="s">
        <v>4998</v>
      </c>
      <c r="D1365">
        <v>1990</v>
      </c>
      <c r="E1365" t="s">
        <v>4999</v>
      </c>
      <c r="F1365" t="s">
        <v>5006</v>
      </c>
      <c r="G1365" s="1" t="str">
        <f t="shared" si="44"/>
        <v>https://mariantoc.github.io/ecology.html#SanzE1990</v>
      </c>
    </row>
    <row r="1366" spans="1:7" x14ac:dyDescent="0.3">
      <c r="A1366">
        <f t="shared" si="43"/>
        <v>1365</v>
      </c>
      <c r="B1366" t="s">
        <v>5007</v>
      </c>
      <c r="C1366" t="s">
        <v>5008</v>
      </c>
      <c r="D1366">
        <v>1982</v>
      </c>
      <c r="E1366" t="s">
        <v>4933</v>
      </c>
      <c r="F1366" t="s">
        <v>5025</v>
      </c>
      <c r="G1366" s="1" t="str">
        <f t="shared" si="44"/>
        <v>https://mariantoc.github.io/stratigraphy.html#MorkhovenFPCM1982</v>
      </c>
    </row>
    <row r="1367" spans="1:7" x14ac:dyDescent="0.3">
      <c r="A1367">
        <f t="shared" si="43"/>
        <v>1366</v>
      </c>
      <c r="B1367" t="s">
        <v>5009</v>
      </c>
      <c r="C1367" t="s">
        <v>5010</v>
      </c>
      <c r="D1367">
        <v>1953</v>
      </c>
      <c r="E1367" t="s">
        <v>5011</v>
      </c>
      <c r="F1367" t="s">
        <v>5026</v>
      </c>
      <c r="G1367" s="1" t="str">
        <f t="shared" si="44"/>
        <v>https://mariantoc.github.io/minerals.html#MartinCABellizia1953</v>
      </c>
    </row>
    <row r="1368" spans="1:7" x14ac:dyDescent="0.3">
      <c r="A1368">
        <f t="shared" si="43"/>
        <v>1367</v>
      </c>
      <c r="B1368" t="s">
        <v>5012</v>
      </c>
      <c r="C1368" t="s">
        <v>5013</v>
      </c>
      <c r="D1368">
        <v>1995</v>
      </c>
      <c r="E1368" t="s">
        <v>5014</v>
      </c>
      <c r="F1368" t="s">
        <v>5027</v>
      </c>
      <c r="G1368" s="1" t="str">
        <f t="shared" si="44"/>
        <v>https://mariantoc.github.io/structural.html#RodriguezJAetal1995</v>
      </c>
    </row>
    <row r="1369" spans="1:7" x14ac:dyDescent="0.3">
      <c r="A1369">
        <f t="shared" si="43"/>
        <v>1368</v>
      </c>
      <c r="B1369" t="s">
        <v>5015</v>
      </c>
      <c r="C1369" t="s">
        <v>341</v>
      </c>
      <c r="D1369">
        <v>2026</v>
      </c>
      <c r="E1369" t="s">
        <v>5016</v>
      </c>
      <c r="F1369" t="s">
        <v>5028</v>
      </c>
      <c r="G1369" s="1" t="str">
        <f t="shared" si="44"/>
        <v>https://mariantoc.github.io/biography.html#RodriguezJA2026c</v>
      </c>
    </row>
    <row r="1370" spans="1:7" x14ac:dyDescent="0.3">
      <c r="A1370">
        <f t="shared" si="43"/>
        <v>1369</v>
      </c>
      <c r="B1370" t="s">
        <v>5017</v>
      </c>
      <c r="C1370" t="s">
        <v>5018</v>
      </c>
      <c r="D1370">
        <v>1960</v>
      </c>
      <c r="E1370" t="s">
        <v>5019</v>
      </c>
      <c r="F1370" t="s">
        <v>5029</v>
      </c>
      <c r="G1370" s="1" t="str">
        <f t="shared" si="44"/>
        <v>https://mariantoc.github.io/stratigraphy.html#FunkhouserJW1960</v>
      </c>
    </row>
    <row r="1371" spans="1:7" x14ac:dyDescent="0.3">
      <c r="A1371">
        <f t="shared" si="43"/>
        <v>1370</v>
      </c>
      <c r="B1371" t="s">
        <v>5020</v>
      </c>
      <c r="C1371" t="s">
        <v>325</v>
      </c>
      <c r="D1371">
        <v>1970</v>
      </c>
      <c r="E1371" t="s">
        <v>5021</v>
      </c>
      <c r="F1371" t="s">
        <v>5030</v>
      </c>
      <c r="G1371" s="1" t="str">
        <f t="shared" si="44"/>
        <v>https://mariantoc.github.io/structural.html#Schubert,C1970</v>
      </c>
    </row>
    <row r="1372" spans="1:7" x14ac:dyDescent="0.3">
      <c r="A1372">
        <f t="shared" si="43"/>
        <v>1371</v>
      </c>
      <c r="B1372" t="s">
        <v>5022</v>
      </c>
      <c r="C1372" t="s">
        <v>5023</v>
      </c>
      <c r="D1372">
        <v>1987</v>
      </c>
      <c r="E1372" t="s">
        <v>5024</v>
      </c>
      <c r="F1372" t="s">
        <v>5031</v>
      </c>
      <c r="G1372" s="1" t="str">
        <f t="shared" si="44"/>
        <v>https://mariantoc.github.io/fields.html#IseaA1987</v>
      </c>
    </row>
    <row r="1373" spans="1:7" x14ac:dyDescent="0.3">
      <c r="A1373">
        <f t="shared" si="43"/>
        <v>1372</v>
      </c>
      <c r="B1373" t="s">
        <v>5032</v>
      </c>
      <c r="C1373" t="s">
        <v>2880</v>
      </c>
      <c r="D1373">
        <v>1998</v>
      </c>
      <c r="E1373" t="s">
        <v>5033</v>
      </c>
      <c r="F1373" t="s">
        <v>5047</v>
      </c>
      <c r="G1373" s="1" t="str">
        <f t="shared" si="44"/>
        <v>https://mariantoc.github.io/stratigraphy.html#CastroM1998a</v>
      </c>
    </row>
    <row r="1374" spans="1:7" x14ac:dyDescent="0.3">
      <c r="A1374">
        <f t="shared" si="43"/>
        <v>1373</v>
      </c>
      <c r="B1374" t="s">
        <v>5034</v>
      </c>
      <c r="C1374" t="s">
        <v>5035</v>
      </c>
      <c r="D1374">
        <v>2024</v>
      </c>
      <c r="E1374" t="s">
        <v>5036</v>
      </c>
      <c r="F1374" t="s">
        <v>5048</v>
      </c>
      <c r="G1374" s="1" t="str">
        <f t="shared" si="44"/>
        <v>https://mariantoc.github.io/stratigraphy.html#LazaJH2024</v>
      </c>
    </row>
    <row r="1375" spans="1:7" x14ac:dyDescent="0.3">
      <c r="A1375">
        <f t="shared" si="43"/>
        <v>1374</v>
      </c>
      <c r="B1375" t="s">
        <v>5037</v>
      </c>
      <c r="C1375" t="s">
        <v>341</v>
      </c>
      <c r="D1375">
        <v>2026</v>
      </c>
      <c r="E1375" t="s">
        <v>5016</v>
      </c>
      <c r="F1375" t="s">
        <v>5049</v>
      </c>
      <c r="G1375" s="1" t="str">
        <f t="shared" si="44"/>
        <v>https://mariantoc.github.io/biography.html#RodriguezJA2026d</v>
      </c>
    </row>
    <row r="1376" spans="1:7" x14ac:dyDescent="0.3">
      <c r="A1376">
        <f t="shared" si="43"/>
        <v>1375</v>
      </c>
      <c r="B1376" t="s">
        <v>5038</v>
      </c>
      <c r="C1376" t="s">
        <v>4676</v>
      </c>
      <c r="D1376">
        <v>2026</v>
      </c>
      <c r="E1376" t="s">
        <v>4738</v>
      </c>
      <c r="F1376" t="s">
        <v>5050</v>
      </c>
      <c r="G1376" s="1" t="str">
        <f t="shared" si="44"/>
        <v>https://mariantoc.github.io/topics.html#PorrasJS2026</v>
      </c>
    </row>
    <row r="1377" spans="1:7" x14ac:dyDescent="0.3">
      <c r="A1377">
        <f t="shared" si="43"/>
        <v>1376</v>
      </c>
      <c r="B1377" t="s">
        <v>5039</v>
      </c>
      <c r="C1377" t="s">
        <v>297</v>
      </c>
      <c r="D1377">
        <v>2025</v>
      </c>
      <c r="E1377" t="s">
        <v>5040</v>
      </c>
      <c r="F1377" t="s">
        <v>5051</v>
      </c>
      <c r="G1377" s="1" t="str">
        <f t="shared" si="44"/>
        <v>https://mariantoc.github.io/biography.html#MarinoiN2025</v>
      </c>
    </row>
    <row r="1378" spans="1:7" x14ac:dyDescent="0.3">
      <c r="A1378">
        <f t="shared" si="43"/>
        <v>1377</v>
      </c>
      <c r="B1378" t="s">
        <v>5041</v>
      </c>
      <c r="C1378" t="s">
        <v>5042</v>
      </c>
      <c r="D1378">
        <v>1958</v>
      </c>
      <c r="E1378" t="s">
        <v>5043</v>
      </c>
      <c r="F1378" t="s">
        <v>5052</v>
      </c>
      <c r="G1378" s="1" t="str">
        <f t="shared" si="44"/>
        <v>https://mariantoc.github.io/biography.html#DouglasJ1958</v>
      </c>
    </row>
    <row r="1379" spans="1:7" x14ac:dyDescent="0.3">
      <c r="A1379">
        <f t="shared" si="43"/>
        <v>1378</v>
      </c>
      <c r="B1379" t="s">
        <v>5044</v>
      </c>
      <c r="C1379" t="s">
        <v>5045</v>
      </c>
      <c r="D1379">
        <v>1953</v>
      </c>
      <c r="E1379" t="s">
        <v>5046</v>
      </c>
      <c r="F1379" t="s">
        <v>5053</v>
      </c>
      <c r="G1379" s="1" t="str">
        <f t="shared" si="44"/>
        <v>https://mariantoc.github.io/minerals.html#PerezRVonderOstenE1953</v>
      </c>
    </row>
    <row r="1380" spans="1:7" x14ac:dyDescent="0.3">
      <c r="A1380">
        <f t="shared" si="43"/>
        <v>1379</v>
      </c>
      <c r="B1380" t="s">
        <v>5054</v>
      </c>
      <c r="C1380" t="s">
        <v>5055</v>
      </c>
      <c r="D1380">
        <v>2015</v>
      </c>
      <c r="E1380" t="s">
        <v>5056</v>
      </c>
      <c r="F1380" t="s">
        <v>5070</v>
      </c>
      <c r="G1380" s="1" t="str">
        <f t="shared" si="44"/>
        <v>https://mariantoc.github.io/minerals.html#MorenoACCetal2015</v>
      </c>
    </row>
    <row r="1381" spans="1:7" x14ac:dyDescent="0.3">
      <c r="A1381">
        <f t="shared" si="43"/>
        <v>1380</v>
      </c>
      <c r="B1381" t="s">
        <v>5057</v>
      </c>
      <c r="C1381" t="s">
        <v>5058</v>
      </c>
      <c r="D1381">
        <v>2026</v>
      </c>
      <c r="E1381" t="s">
        <v>5059</v>
      </c>
      <c r="F1381" t="s">
        <v>5071</v>
      </c>
      <c r="G1381" s="1" t="str">
        <f t="shared" si="44"/>
        <v>https://mariantoc.github.io/fields.html#PorrasJS2026a</v>
      </c>
    </row>
    <row r="1382" spans="1:7" x14ac:dyDescent="0.3">
      <c r="A1382">
        <f t="shared" si="43"/>
        <v>1381</v>
      </c>
      <c r="B1382" t="s">
        <v>5060</v>
      </c>
      <c r="C1382" t="s">
        <v>461</v>
      </c>
      <c r="D1382">
        <v>2017</v>
      </c>
      <c r="E1382" t="s">
        <v>5061</v>
      </c>
      <c r="F1382" t="s">
        <v>5072</v>
      </c>
      <c r="G1382" s="1" t="str">
        <f t="shared" si="44"/>
        <v>https://mariantoc.github.io/biography.html#UrbaniF2017</v>
      </c>
    </row>
    <row r="1383" spans="1:7" x14ac:dyDescent="0.3">
      <c r="A1383">
        <f t="shared" si="43"/>
        <v>1382</v>
      </c>
      <c r="B1383" t="s">
        <v>5062</v>
      </c>
      <c r="C1383" t="s">
        <v>18</v>
      </c>
      <c r="D1383">
        <v>1998</v>
      </c>
      <c r="E1383" t="s">
        <v>5033</v>
      </c>
      <c r="F1383" t="s">
        <v>5073</v>
      </c>
      <c r="G1383" s="1" t="str">
        <f t="shared" si="44"/>
        <v>https://mariantoc.github.io/stratigraphy.html#CastroM1998b</v>
      </c>
    </row>
    <row r="1384" spans="1:7" x14ac:dyDescent="0.3">
      <c r="A1384">
        <f t="shared" si="43"/>
        <v>1383</v>
      </c>
      <c r="B1384" t="s">
        <v>5063</v>
      </c>
      <c r="C1384" t="s">
        <v>5064</v>
      </c>
      <c r="D1384">
        <v>2026</v>
      </c>
      <c r="E1384" t="s">
        <v>5065</v>
      </c>
      <c r="F1384" t="s">
        <v>5074</v>
      </c>
      <c r="G1384" s="1" t="str">
        <f t="shared" si="44"/>
        <v>https://mariantoc.github.io/minerals.html#MendozaVetal2026</v>
      </c>
    </row>
    <row r="1385" spans="1:7" x14ac:dyDescent="0.3">
      <c r="A1385">
        <f t="shared" si="43"/>
        <v>1384</v>
      </c>
      <c r="B1385" t="s">
        <v>5066</v>
      </c>
      <c r="D1385">
        <v>1993</v>
      </c>
      <c r="E1385" t="s">
        <v>5067</v>
      </c>
      <c r="F1385" t="s">
        <v>5075</v>
      </c>
      <c r="G1385" s="1" t="str">
        <f t="shared" si="44"/>
        <v>https://mariantoc.github.io/igneous.html#AgeGranitoides1993</v>
      </c>
    </row>
    <row r="1386" spans="1:7" x14ac:dyDescent="0.3">
      <c r="A1386">
        <f t="shared" si="43"/>
        <v>1385</v>
      </c>
      <c r="B1386" t="s">
        <v>5068</v>
      </c>
      <c r="D1386">
        <v>2026</v>
      </c>
      <c r="E1386" t="s">
        <v>5069</v>
      </c>
      <c r="F1386" t="s">
        <v>5076</v>
      </c>
      <c r="G1386" s="1" t="str">
        <f t="shared" si="44"/>
        <v>https://mariantoc.github.io/biography.html#UDO2026</v>
      </c>
    </row>
    <row r="1387" spans="1:7" x14ac:dyDescent="0.3">
      <c r="A1387">
        <f t="shared" si="43"/>
        <v>1386</v>
      </c>
      <c r="B1387" t="s">
        <v>5077</v>
      </c>
      <c r="C1387" t="s">
        <v>791</v>
      </c>
      <c r="D1387">
        <v>2026</v>
      </c>
      <c r="E1387" t="s">
        <v>5078</v>
      </c>
      <c r="F1387" t="s">
        <v>5096</v>
      </c>
      <c r="G1387" s="1" t="str">
        <f t="shared" si="44"/>
        <v>https://mariantoc.github.io/biography.html#LorenteMA2026</v>
      </c>
    </row>
    <row r="1388" spans="1:7" x14ac:dyDescent="0.3">
      <c r="A1388">
        <f t="shared" si="43"/>
        <v>1387</v>
      </c>
      <c r="B1388" t="s">
        <v>5079</v>
      </c>
      <c r="C1388" t="s">
        <v>2880</v>
      </c>
      <c r="D1388">
        <v>1997</v>
      </c>
      <c r="E1388" t="s">
        <v>5080</v>
      </c>
      <c r="F1388" t="s">
        <v>5097</v>
      </c>
      <c r="G1388" s="1" t="str">
        <f t="shared" si="44"/>
        <v>https://mariantoc.github.io/stratigraphy.html#CastroM1997</v>
      </c>
    </row>
    <row r="1389" spans="1:7" x14ac:dyDescent="0.3">
      <c r="A1389">
        <f t="shared" si="43"/>
        <v>1388</v>
      </c>
      <c r="B1389" t="s">
        <v>5081</v>
      </c>
      <c r="C1389" t="s">
        <v>5082</v>
      </c>
      <c r="D1389">
        <v>1997</v>
      </c>
      <c r="E1389" t="s">
        <v>5083</v>
      </c>
      <c r="F1389" t="s">
        <v>5098</v>
      </c>
      <c r="G1389" s="1" t="str">
        <f t="shared" si="44"/>
        <v>https://mariantoc.github.io/stratigraphy.html#MounirMetal1997</v>
      </c>
    </row>
    <row r="1390" spans="1:7" x14ac:dyDescent="0.3">
      <c r="A1390">
        <f t="shared" si="43"/>
        <v>1389</v>
      </c>
      <c r="B1390" t="s">
        <v>5084</v>
      </c>
      <c r="C1390" t="s">
        <v>5085</v>
      </c>
      <c r="D1390">
        <v>1977</v>
      </c>
      <c r="E1390" t="s">
        <v>5086</v>
      </c>
      <c r="F1390" t="s">
        <v>5099</v>
      </c>
      <c r="G1390" s="1" t="str">
        <f t="shared" si="44"/>
        <v>https://mariantoc.github.io/stratigraphy.html#ChatellierJYAquinoR1977</v>
      </c>
    </row>
    <row r="1391" spans="1:7" x14ac:dyDescent="0.3">
      <c r="A1391">
        <f t="shared" si="43"/>
        <v>1390</v>
      </c>
      <c r="B1391" t="s">
        <v>5087</v>
      </c>
      <c r="C1391" t="s">
        <v>5088</v>
      </c>
      <c r="D1391">
        <v>1983</v>
      </c>
      <c r="E1391" t="s">
        <v>5089</v>
      </c>
      <c r="F1391" t="s">
        <v>5100</v>
      </c>
      <c r="G1391" s="1" t="str">
        <f t="shared" si="44"/>
        <v>https://mariantoc.github.io/minerals.html#DiazS1983</v>
      </c>
    </row>
    <row r="1392" spans="1:7" x14ac:dyDescent="0.3">
      <c r="A1392">
        <f t="shared" si="43"/>
        <v>1391</v>
      </c>
      <c r="B1392" t="s">
        <v>5090</v>
      </c>
      <c r="C1392" t="s">
        <v>5091</v>
      </c>
      <c r="D1392">
        <v>1973</v>
      </c>
      <c r="E1392" t="s">
        <v>5092</v>
      </c>
      <c r="F1392" t="s">
        <v>5101</v>
      </c>
      <c r="G1392" s="1" t="str">
        <f t="shared" si="44"/>
        <v>https://mariantoc.github.io/excursions.html#GonzalezLetal1973</v>
      </c>
    </row>
    <row r="1393" spans="1:7" x14ac:dyDescent="0.3">
      <c r="A1393">
        <f t="shared" si="43"/>
        <v>1392</v>
      </c>
      <c r="B1393" t="s">
        <v>5093</v>
      </c>
      <c r="C1393" t="s">
        <v>5094</v>
      </c>
      <c r="D1393">
        <v>1988</v>
      </c>
      <c r="E1393" t="s">
        <v>5095</v>
      </c>
      <c r="F1393" t="s">
        <v>5102</v>
      </c>
      <c r="G1393" s="1" t="str">
        <f t="shared" si="44"/>
        <v>https://mariantoc.github.io/speleology.html#ContrerasREContrerasB1988</v>
      </c>
    </row>
    <row r="1394" spans="1:7" x14ac:dyDescent="0.3">
      <c r="A1394">
        <f t="shared" si="43"/>
        <v>1393</v>
      </c>
      <c r="B1394" t="s">
        <v>5103</v>
      </c>
      <c r="C1394" t="s">
        <v>703</v>
      </c>
      <c r="D1394">
        <v>1981</v>
      </c>
      <c r="E1394" t="s">
        <v>5104</v>
      </c>
      <c r="F1394" t="s">
        <v>5120</v>
      </c>
      <c r="G1394" s="1" t="str">
        <f t="shared" si="44"/>
        <v>https://mariantoc.github.io/stratigraphy.html#RodE1981</v>
      </c>
    </row>
    <row r="1395" spans="1:7" x14ac:dyDescent="0.3">
      <c r="A1395">
        <f t="shared" si="43"/>
        <v>1394</v>
      </c>
      <c r="B1395" t="s">
        <v>5105</v>
      </c>
      <c r="C1395" t="s">
        <v>1986</v>
      </c>
      <c r="D1395">
        <v>2015</v>
      </c>
      <c r="E1395" t="s">
        <v>5106</v>
      </c>
      <c r="F1395" t="s">
        <v>5121</v>
      </c>
      <c r="G1395" s="1" t="str">
        <f t="shared" si="44"/>
        <v>https://mariantoc.github.io/stratigraphy.html#MendezJ2015</v>
      </c>
    </row>
    <row r="1396" spans="1:7" x14ac:dyDescent="0.3">
      <c r="A1396">
        <f t="shared" si="43"/>
        <v>1395</v>
      </c>
      <c r="B1396" t="s">
        <v>5107</v>
      </c>
      <c r="C1396" t="s">
        <v>18</v>
      </c>
      <c r="D1396">
        <v>1997</v>
      </c>
      <c r="E1396" t="s">
        <v>5108</v>
      </c>
      <c r="F1396" t="s">
        <v>5122</v>
      </c>
      <c r="G1396" s="1" t="str">
        <f t="shared" si="44"/>
        <v>https://mariantoc.github.io/stratigraphy.html#CastroM1997a</v>
      </c>
    </row>
    <row r="1397" spans="1:7" x14ac:dyDescent="0.3">
      <c r="A1397">
        <f t="shared" si="43"/>
        <v>1396</v>
      </c>
      <c r="B1397" t="s">
        <v>5109</v>
      </c>
      <c r="C1397" t="s">
        <v>242</v>
      </c>
      <c r="D1397">
        <v>1985</v>
      </c>
      <c r="E1397" t="s">
        <v>5110</v>
      </c>
      <c r="F1397" t="s">
        <v>5123</v>
      </c>
      <c r="G1397" s="1" t="str">
        <f t="shared" si="44"/>
        <v>https://mariantoc.github.io/stratigraphy.html#ArnsteyRetal1985</v>
      </c>
    </row>
    <row r="1398" spans="1:7" x14ac:dyDescent="0.3">
      <c r="A1398">
        <f t="shared" si="43"/>
        <v>1397</v>
      </c>
      <c r="B1398" t="s">
        <v>5111</v>
      </c>
      <c r="C1398" t="s">
        <v>5112</v>
      </c>
      <c r="D1398">
        <v>1963</v>
      </c>
      <c r="E1398" t="s">
        <v>5113</v>
      </c>
      <c r="F1398" t="s">
        <v>5124</v>
      </c>
      <c r="G1398" s="1" t="str">
        <f t="shared" si="44"/>
        <v>https://mariantoc.github.io/stratigraphy.html#FordAHouboldtJJHC1963</v>
      </c>
    </row>
    <row r="1399" spans="1:7" x14ac:dyDescent="0.3">
      <c r="A1399">
        <f t="shared" si="43"/>
        <v>1398</v>
      </c>
      <c r="B1399" t="s">
        <v>5114</v>
      </c>
      <c r="C1399" t="s">
        <v>5116</v>
      </c>
      <c r="D1399">
        <v>1990</v>
      </c>
      <c r="E1399" t="s">
        <v>5115</v>
      </c>
      <c r="F1399" t="s">
        <v>5125</v>
      </c>
      <c r="G1399" s="1" t="str">
        <f t="shared" si="44"/>
        <v>https://mariantoc.github.io/fields.html#RobertoMetal1990</v>
      </c>
    </row>
    <row r="1400" spans="1:7" x14ac:dyDescent="0.3">
      <c r="A1400">
        <f t="shared" si="43"/>
        <v>1399</v>
      </c>
      <c r="B1400" t="s">
        <v>5117</v>
      </c>
      <c r="C1400" t="s">
        <v>5118</v>
      </c>
      <c r="D1400">
        <v>2025</v>
      </c>
      <c r="E1400" t="s">
        <v>5119</v>
      </c>
      <c r="F1400" t="s">
        <v>5126</v>
      </c>
      <c r="G1400" s="1" t="str">
        <f t="shared" si="44"/>
        <v>https://mariantoc.github.io/ecology.html#MoralesGJ2025</v>
      </c>
    </row>
    <row r="1401" spans="1:7" x14ac:dyDescent="0.3">
      <c r="A1401">
        <f t="shared" si="43"/>
        <v>1400</v>
      </c>
      <c r="B1401" t="s">
        <v>5127</v>
      </c>
      <c r="C1401" t="s">
        <v>5128</v>
      </c>
      <c r="D1401">
        <v>2026</v>
      </c>
      <c r="E1401" t="s">
        <v>5129</v>
      </c>
      <c r="F1401" s="8" t="s">
        <v>5144</v>
      </c>
      <c r="G1401" s="1" t="str">
        <f t="shared" si="44"/>
        <v>https://mariantoc.github.io/stratigraphy.html#ChacinEEstevesA2026</v>
      </c>
    </row>
    <row r="1402" spans="1:7" x14ac:dyDescent="0.3">
      <c r="A1402">
        <f t="shared" si="43"/>
        <v>1401</v>
      </c>
      <c r="B1402" t="s">
        <v>5130</v>
      </c>
      <c r="C1402" t="s">
        <v>5131</v>
      </c>
      <c r="D1402">
        <v>2026</v>
      </c>
      <c r="E1402" t="s">
        <v>5129</v>
      </c>
      <c r="F1402" s="8" t="s">
        <v>5145</v>
      </c>
      <c r="G1402" s="1" t="str">
        <f t="shared" si="44"/>
        <v>https://mariantoc.github.io/fields.html#GarciaJ2026</v>
      </c>
    </row>
    <row r="1403" spans="1:7" x14ac:dyDescent="0.3">
      <c r="A1403">
        <f t="shared" si="43"/>
        <v>1402</v>
      </c>
      <c r="B1403" t="s">
        <v>5132</v>
      </c>
      <c r="C1403" t="s">
        <v>18</v>
      </c>
      <c r="D1403">
        <v>1997</v>
      </c>
      <c r="E1403" t="s">
        <v>5133</v>
      </c>
      <c r="F1403" s="8" t="s">
        <v>5146</v>
      </c>
      <c r="G1403" s="1" t="str">
        <f t="shared" si="44"/>
        <v>https://mariantoc.github.io/stratigraphy.html#CastroM1997b</v>
      </c>
    </row>
    <row r="1404" spans="1:7" x14ac:dyDescent="0.3">
      <c r="A1404">
        <f t="shared" si="43"/>
        <v>1403</v>
      </c>
      <c r="B1404" t="s">
        <v>5134</v>
      </c>
      <c r="C1404" t="s">
        <v>5135</v>
      </c>
      <c r="D1404">
        <v>1973</v>
      </c>
      <c r="E1404" t="s">
        <v>5136</v>
      </c>
      <c r="F1404" s="8" t="s">
        <v>5147</v>
      </c>
      <c r="G1404" s="1" t="str">
        <f t="shared" si="44"/>
        <v>https://mariantoc.github.io/excursions.html#NogueiraA1973</v>
      </c>
    </row>
    <row r="1405" spans="1:7" x14ac:dyDescent="0.3">
      <c r="A1405">
        <f t="shared" si="43"/>
        <v>1404</v>
      </c>
      <c r="B1405" t="s">
        <v>5140</v>
      </c>
      <c r="C1405" t="s">
        <v>1863</v>
      </c>
      <c r="D1405">
        <v>1959</v>
      </c>
      <c r="E1405" t="s">
        <v>5137</v>
      </c>
      <c r="F1405" s="8" t="s">
        <v>5148</v>
      </c>
      <c r="G1405" s="1" t="str">
        <f t="shared" si="44"/>
        <v>https://mariantoc.github.io/stratigraphy.html#CharltonF1959</v>
      </c>
    </row>
    <row r="1406" spans="1:7" x14ac:dyDescent="0.3">
      <c r="A1406">
        <f t="shared" si="43"/>
        <v>1405</v>
      </c>
      <c r="B1406" t="s">
        <v>5138</v>
      </c>
      <c r="D1406">
        <v>1978</v>
      </c>
      <c r="E1406" t="s">
        <v>5139</v>
      </c>
      <c r="F1406" s="8" t="s">
        <v>5149</v>
      </c>
      <c r="G1406" s="1" t="str">
        <f t="shared" si="44"/>
        <v>https://mariantoc.github.io/ecology.html#Inparques1978</v>
      </c>
    </row>
    <row r="1407" spans="1:7" x14ac:dyDescent="0.3">
      <c r="A1407">
        <f t="shared" si="43"/>
        <v>1406</v>
      </c>
      <c r="B1407" t="s">
        <v>5141</v>
      </c>
      <c r="C1407" t="s">
        <v>5142</v>
      </c>
      <c r="D1407">
        <v>2018</v>
      </c>
      <c r="E1407" t="s">
        <v>5143</v>
      </c>
      <c r="F1407" s="8" t="s">
        <v>5150</v>
      </c>
      <c r="G1407" s="1" t="str">
        <f t="shared" si="44"/>
        <v>https://mariantoc.github.io/biography.html#SimmonsM2018</v>
      </c>
    </row>
    <row r="1408" spans="1:7" x14ac:dyDescent="0.3">
      <c r="F1408" s="7" t="s">
        <v>4315</v>
      </c>
    </row>
    <row r="1409" spans="6:6" x14ac:dyDescent="0.3">
      <c r="F1409" s="7" t="s">
        <v>4315</v>
      </c>
    </row>
    <row r="1410" spans="6:6" x14ac:dyDescent="0.3">
      <c r="F1410" s="7" t="s">
        <v>4315</v>
      </c>
    </row>
    <row r="1411" spans="6:6" x14ac:dyDescent="0.3">
      <c r="F1411" s="7" t="s">
        <v>4315</v>
      </c>
    </row>
    <row r="1412" spans="6:6" x14ac:dyDescent="0.3">
      <c r="F1412" s="7" t="s">
        <v>4315</v>
      </c>
    </row>
    <row r="1413" spans="6:6" x14ac:dyDescent="0.3">
      <c r="F1413" s="7" t="s">
        <v>4315</v>
      </c>
    </row>
    <row r="1414" spans="6:6" x14ac:dyDescent="0.3">
      <c r="F1414" s="7" t="s">
        <v>4315</v>
      </c>
    </row>
    <row r="1415" spans="6:6" x14ac:dyDescent="0.3">
      <c r="F1415" s="7" t="s">
        <v>4315</v>
      </c>
    </row>
    <row r="1416" spans="6:6" x14ac:dyDescent="0.3">
      <c r="F1416" s="7" t="s">
        <v>4315</v>
      </c>
    </row>
    <row r="1417" spans="6:6" x14ac:dyDescent="0.3">
      <c r="F1417" s="7" t="s">
        <v>4315</v>
      </c>
    </row>
    <row r="1418" spans="6:6" x14ac:dyDescent="0.3">
      <c r="F1418" s="7" t="s">
        <v>4315</v>
      </c>
    </row>
    <row r="1419" spans="6:6" x14ac:dyDescent="0.3">
      <c r="F1419" s="7" t="s">
        <v>4315</v>
      </c>
    </row>
    <row r="1420" spans="6:6" x14ac:dyDescent="0.3">
      <c r="F1420" s="7" t="s">
        <v>4315</v>
      </c>
    </row>
    <row r="1421" spans="6:6" x14ac:dyDescent="0.3">
      <c r="F1421" s="7" t="s">
        <v>4315</v>
      </c>
    </row>
    <row r="1422" spans="6:6" x14ac:dyDescent="0.3">
      <c r="F1422" s="7" t="s">
        <v>4315</v>
      </c>
    </row>
    <row r="1423" spans="6:6" x14ac:dyDescent="0.3">
      <c r="F1423" s="7" t="s">
        <v>4315</v>
      </c>
    </row>
    <row r="1424" spans="6:6" x14ac:dyDescent="0.3">
      <c r="F1424" s="7" t="s">
        <v>4315</v>
      </c>
    </row>
    <row r="1425" spans="6:6" x14ac:dyDescent="0.3">
      <c r="F1425" s="7" t="s">
        <v>4315</v>
      </c>
    </row>
    <row r="1426" spans="6:6" x14ac:dyDescent="0.3">
      <c r="F1426" s="7" t="s">
        <v>4315</v>
      </c>
    </row>
    <row r="1427" spans="6:6" x14ac:dyDescent="0.3">
      <c r="F1427" s="7" t="s">
        <v>4315</v>
      </c>
    </row>
    <row r="1428" spans="6:6" x14ac:dyDescent="0.3">
      <c r="F1428" s="7" t="s">
        <v>4315</v>
      </c>
    </row>
    <row r="1429" spans="6:6" x14ac:dyDescent="0.3">
      <c r="F1429" s="7" t="s">
        <v>4315</v>
      </c>
    </row>
    <row r="1430" spans="6:6" x14ac:dyDescent="0.3">
      <c r="F1430" s="7" t="s">
        <v>4315</v>
      </c>
    </row>
    <row r="1431" spans="6:6" x14ac:dyDescent="0.3">
      <c r="F1431" s="7" t="s">
        <v>4315</v>
      </c>
    </row>
    <row r="1432" spans="6:6" x14ac:dyDescent="0.3">
      <c r="F1432" s="7" t="s">
        <v>4315</v>
      </c>
    </row>
    <row r="1433" spans="6:6" x14ac:dyDescent="0.3">
      <c r="F1433" s="7" t="s">
        <v>4315</v>
      </c>
    </row>
    <row r="1434" spans="6:6" x14ac:dyDescent="0.3">
      <c r="F1434" s="7" t="s">
        <v>4315</v>
      </c>
    </row>
    <row r="1435" spans="6:6" x14ac:dyDescent="0.3">
      <c r="F143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2026-10-24T12:27:29Z</dcterms:modified>
</cp:coreProperties>
</file>